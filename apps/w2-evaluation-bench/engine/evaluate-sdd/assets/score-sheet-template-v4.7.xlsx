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ver" sheetId="1" state="visible" r:id="rId1"/>
    <sheet xmlns:r="http://schemas.openxmlformats.org/officeDocument/2006/relationships" name="Per_Dimension_Scoring" sheetId="2" state="visible" r:id="rId2"/>
    <sheet xmlns:r="http://schemas.openxmlformats.org/officeDocument/2006/relationships" name="Dim_1-7_Sub_Criteria" sheetId="3" state="visible" r:id="rId3"/>
    <sheet xmlns:r="http://schemas.openxmlformats.org/officeDocument/2006/relationships" name="Deductions" sheetId="4" state="visible" r:id="rId4"/>
    <sheet xmlns:r="http://schemas.openxmlformats.org/officeDocument/2006/relationships" name="Judge_Record" sheetId="5" state="visible" r:id="rId5"/>
    <sheet xmlns:r="http://schemas.openxmlformats.org/officeDocument/2006/relationships" name="Narrative" sheetId="6" state="visible" r:id="rId6"/>
  </sheets>
  <definedNames>
    <definedName name="ss_blinding_label" hidden="0" function="0" vbProcedure="0">Cover!$B$12</definedName>
    <definedName name="ss_dim_3_total_deduction" hidden="0" function="0" vbProcedure="0">Deductions!$C$28</definedName>
    <definedName name="ss_dim_4_floor_cap" hidden="0" function="0" vbProcedure="0">Cover!$B$30</definedName>
    <definedName name="ss_integration_heavy" hidden="0" function="0" vbProcedure="0">Cover!$B$18</definedName>
    <definedName name="ss_multi_cloud" hidden="0" function="0" vbProcedure="0">Cover!$B$19</definedName>
    <definedName name="ss_overall_gate" hidden="0" function="0" vbProcedure="0">Per_Dimension_Scoring!$I$13</definedName>
    <definedName name="ss_per_dim_bands" hidden="0" function="0" vbProcedure="0">Per_Dimension_Scoring!$G$5:$G$11</definedName>
    <definedName name="ss_per_dim_finals" hidden="0" function="0" vbProcedure="0">Per_Dimension_Scoring!$F$5:$F$11</definedName>
    <definedName name="ss_per_dim_gate" hidden="0" function="0" vbProcedure="0">Per_Dimension_Scoring!$I$5:$I$11</definedName>
    <definedName name="ss_per_dim_means" hidden="0" function="0" vbProcedure="0">Per_Dimension_Scoring!$D$5:$D$11</definedName>
    <definedName name="ss_run_id" hidden="0" function="0" vbProcedure="0">Cover!$B$10</definedName>
    <definedName name="ss_variance_flags" hidden="0" function="0" vbProcedure="0">Variance_Record!$J$5:$J$11</definedName>
  </definedNames>
  <calcPr calcId="124519" fullCalcOnLoad="1" refMode="A1" iterate="0" iterateCount="100" iterateDelta="0.0001"/>
</workbook>
</file>

<file path=xl/styles.xml><?xml version="1.0" encoding="utf-8"?>
<styleSheet xmlns="http://schemas.openxmlformats.org/spreadsheetml/2006/main">
  <numFmts count="0"/>
  <fonts count="21">
    <font>
      <name val="Calibri"/>
      <charset val="1"/>
      <family val="2"/>
      <color theme="1"/>
      <sz val="11"/>
    </font>
    <font>
      <name val="Arial"/>
      <family val="0"/>
      <sz val="10"/>
    </font>
    <font>
      <name val="Arial"/>
      <family val="0"/>
      <sz val="10"/>
    </font>
    <font>
      <name val="Arial"/>
      <family val="0"/>
      <sz val="10"/>
    </font>
    <font>
      <name val="Arial"/>
      <charset val="1"/>
      <family val="0"/>
      <b val="1"/>
      <color rgb="FF305496"/>
      <sz val="14"/>
    </font>
    <font>
      <name val="Arial"/>
      <charset val="1"/>
      <family val="0"/>
      <b val="1"/>
      <color rgb="FF000000"/>
      <sz val="10"/>
    </font>
    <font>
      <name val="Arial"/>
      <charset val="1"/>
      <family val="0"/>
      <b val="1"/>
      <sz val="10"/>
    </font>
    <font>
      <name val="Arial"/>
      <charset val="1"/>
      <family val="0"/>
      <sz val="10"/>
    </font>
    <font>
      <name val="Arial"/>
      <charset val="1"/>
      <family val="0"/>
      <i val="1"/>
      <color rgb="FF595959"/>
      <sz val="9"/>
    </font>
    <font>
      <name val="Arial"/>
      <charset val="1"/>
      <family val="0"/>
      <b val="1"/>
      <color rgb="FFFFFFFF"/>
      <sz val="11"/>
    </font>
    <font>
      <name val="Arial"/>
      <charset val="1"/>
      <family val="0"/>
      <b val="1"/>
      <color rgb="FF305496"/>
      <sz val="13"/>
    </font>
    <font>
      <name val="DM Sans"/>
      <b val="1"/>
      <color rgb="FF305496"/>
      <sz val="14"/>
    </font>
    <font>
      <name val="DM Sans"/>
      <color theme="1"/>
      <sz val="11"/>
    </font>
    <font>
      <name val="DM Sans"/>
      <b val="1"/>
      <color rgb="FF000000"/>
      <sz val="10"/>
    </font>
    <font>
      <name val="DM Sans"/>
      <b val="1"/>
      <sz val="10"/>
    </font>
    <font>
      <name val="DM Sans"/>
      <sz val="10"/>
    </font>
    <font>
      <name val="DM Sans"/>
      <i val="1"/>
      <color rgb="FF595959"/>
      <sz val="9"/>
    </font>
    <font>
      <name val="DM Sans"/>
      <b val="1"/>
      <color rgb="FFFFFFFF"/>
      <sz val="11"/>
    </font>
    <font>
      <name val="DM Sans"/>
      <b val="1"/>
      <color rgb="FF305496"/>
      <sz val="13"/>
    </font>
    <font>
      <name val="DM Sans"/>
      <b val="1"/>
      <color rgb="FFFFFFFF"/>
      <sz val="12"/>
    </font>
    <font>
      <name val="DM Sans"/>
      <b val="1"/>
      <color rgb="FFFFFFFF"/>
      <sz val="10"/>
    </font>
  </fonts>
  <fills count="9">
    <fill>
      <patternFill/>
    </fill>
    <fill>
      <patternFill patternType="gray125"/>
    </fill>
    <fill>
      <patternFill patternType="solid">
        <fgColor rgb="FFD9E1F2"/>
        <bgColor rgb="FFE2EFDA"/>
      </patternFill>
    </fill>
    <fill>
      <patternFill patternType="solid">
        <fgColor rgb="FFFFF2CC"/>
        <bgColor rgb="FFF2F2F2"/>
      </patternFill>
    </fill>
    <fill>
      <patternFill patternType="solid">
        <fgColor rgb="FF305496"/>
        <bgColor rgb="FF595959"/>
      </patternFill>
    </fill>
    <fill>
      <patternFill patternType="solid">
        <fgColor rgb="FFF2F2F2"/>
        <bgColor rgb="FFE2EFDA"/>
      </patternFill>
    </fill>
    <fill>
      <patternFill patternType="solid">
        <fgColor rgb="FFE2EFDA"/>
        <bgColor rgb="FFF2F2F2"/>
      </patternFill>
    </fill>
    <fill>
      <patternFill patternType="solid">
        <fgColor rgb="FF1C4A4D"/>
      </patternFill>
    </fill>
    <fill>
      <patternFill patternType="solid">
        <fgColor rgb="FF139F94"/>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0" applyAlignment="1" pivotButton="0" quotePrefix="0" xfId="0">
      <alignment horizontal="general" vertical="bottom"/>
    </xf>
    <xf numFmtId="0" fontId="6" fillId="0" borderId="0" applyAlignment="1" pivotButton="0" quotePrefix="0" xfId="0">
      <alignment horizontal="general" vertical="bottom"/>
    </xf>
    <xf numFmtId="0" fontId="7" fillId="3" borderId="1" applyAlignment="1" pivotButton="0" quotePrefix="0" xfId="0">
      <alignment horizontal="left" vertical="top" wrapText="1"/>
    </xf>
    <xf numFmtId="0" fontId="8" fillId="0" borderId="0" applyAlignment="1" pivotButton="0" quotePrefix="0" xfId="0">
      <alignment horizontal="left" vertical="top" wrapText="1"/>
    </xf>
    <xf numFmtId="0" fontId="9" fillId="4" borderId="1" applyAlignment="1" pivotButton="0" quotePrefix="0" xfId="0">
      <alignment horizontal="center" vertical="center"/>
    </xf>
    <xf numFmtId="0" fontId="6" fillId="0" borderId="1" applyAlignment="1" pivotButton="0" quotePrefix="0" xfId="0">
      <alignment horizontal="center" vertical="center"/>
    </xf>
    <xf numFmtId="0" fontId="7" fillId="3" borderId="1" applyAlignment="1" pivotButton="0" quotePrefix="0" xfId="0">
      <alignment horizontal="center" vertical="center"/>
    </xf>
    <xf numFmtId="0" fontId="8" fillId="0" borderId="1" applyAlignment="1" pivotButton="0" quotePrefix="0" xfId="0">
      <alignment horizontal="left" vertical="top" wrapText="1"/>
    </xf>
    <xf numFmtId="0" fontId="7" fillId="5" borderId="1" applyAlignment="1" pivotButton="0" quotePrefix="0" xfId="0">
      <alignment horizontal="left" vertical="top" wrapText="1"/>
    </xf>
    <xf numFmtId="0" fontId="10" fillId="0" borderId="0" applyAlignment="1" pivotButton="0" quotePrefix="0" xfId="0">
      <alignment horizontal="general" vertical="bottom"/>
    </xf>
    <xf numFmtId="0" fontId="8" fillId="0" borderId="0" applyAlignment="1" pivotButton="0" quotePrefix="0" xfId="0">
      <alignment horizontal="left" vertical="top" wrapText="1"/>
    </xf>
    <xf numFmtId="0" fontId="7" fillId="0" borderId="1" applyAlignment="1" pivotButton="0" quotePrefix="0" xfId="0">
      <alignment horizontal="general" vertical="bottom"/>
    </xf>
    <xf numFmtId="0" fontId="7" fillId="5" borderId="1" applyAlignment="1" pivotButton="0" quotePrefix="0" xfId="0">
      <alignment horizontal="center" vertical="center"/>
    </xf>
    <xf numFmtId="0" fontId="7" fillId="6" borderId="1" applyAlignment="1" pivotButton="0" quotePrefix="0" xfId="0">
      <alignment horizontal="center" vertical="center"/>
    </xf>
    <xf numFmtId="0" fontId="0" fillId="2" borderId="1" applyAlignment="1" pivotButton="0" quotePrefix="0" xfId="0">
      <alignment horizontal="general" vertical="bottom"/>
    </xf>
    <xf numFmtId="0" fontId="6" fillId="2" borderId="1" applyAlignment="1" pivotButton="0" quotePrefix="0" xfId="0">
      <alignment horizontal="center" vertical="center"/>
    </xf>
    <xf numFmtId="0" fontId="6" fillId="6" borderId="1" applyAlignment="1" pivotButton="0" quotePrefix="0" xfId="0">
      <alignment horizontal="center" vertical="center"/>
    </xf>
    <xf numFmtId="0" fontId="6" fillId="0"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0" applyAlignment="1" pivotButton="0" quotePrefix="0" xfId="0">
      <alignment horizontal="general" vertical="bottom"/>
    </xf>
    <xf numFmtId="0" fontId="6" fillId="0" borderId="0" applyAlignment="1" pivotButton="0" quotePrefix="0" xfId="0">
      <alignment horizontal="general" vertical="bottom"/>
    </xf>
    <xf numFmtId="0" fontId="7" fillId="3" borderId="1" applyAlignment="1" pivotButton="0" quotePrefix="0" xfId="0">
      <alignment horizontal="left" vertical="top" wrapText="1"/>
    </xf>
    <xf numFmtId="0" fontId="8" fillId="0" borderId="0" applyAlignment="1" pivotButton="0" quotePrefix="0" xfId="0">
      <alignment horizontal="left" vertical="top" wrapText="1"/>
    </xf>
    <xf numFmtId="0" fontId="9" fillId="4" borderId="1" applyAlignment="1" pivotButton="0" quotePrefix="0" xfId="0">
      <alignment horizontal="center" vertical="center"/>
    </xf>
    <xf numFmtId="0" fontId="6" fillId="0" borderId="1" applyAlignment="1" pivotButton="0" quotePrefix="0" xfId="0">
      <alignment horizontal="center" vertical="center"/>
    </xf>
    <xf numFmtId="0" fontId="7" fillId="3" borderId="1" applyAlignment="1" pivotButton="0" quotePrefix="0" xfId="0">
      <alignment horizontal="center" vertical="center"/>
    </xf>
    <xf numFmtId="0" fontId="8" fillId="0" borderId="1" applyAlignment="1" pivotButton="0" quotePrefix="0" xfId="0">
      <alignment horizontal="left" vertical="top" wrapText="1"/>
    </xf>
    <xf numFmtId="0" fontId="7" fillId="5" borderId="1" applyAlignment="1" pivotButton="0" quotePrefix="0" xfId="0">
      <alignment horizontal="left" vertical="top" wrapText="1"/>
    </xf>
    <xf numFmtId="0" fontId="0" fillId="0" borderId="4" pivotButton="0" quotePrefix="0" xfId="0"/>
    <xf numFmtId="0" fontId="0" fillId="0" borderId="5" pivotButton="0" quotePrefix="0" xfId="0"/>
    <xf numFmtId="0" fontId="10" fillId="0" borderId="0" applyAlignment="1" pivotButton="0" quotePrefix="0" xfId="0">
      <alignment horizontal="general" vertical="bottom"/>
    </xf>
    <xf numFmtId="0" fontId="7" fillId="0" borderId="1" applyAlignment="1" pivotButton="0" quotePrefix="0" xfId="0">
      <alignment horizontal="general" vertical="bottom"/>
    </xf>
    <xf numFmtId="0" fontId="7" fillId="5" borderId="1" applyAlignment="1" pivotButton="0" quotePrefix="0" xfId="0">
      <alignment horizontal="center" vertical="center"/>
    </xf>
    <xf numFmtId="0" fontId="7" fillId="6" borderId="1" applyAlignment="1" pivotButton="0" quotePrefix="0" xfId="0">
      <alignment horizontal="center" vertical="center"/>
    </xf>
    <xf numFmtId="0" fontId="0" fillId="2" borderId="1" applyAlignment="1" pivotButton="0" quotePrefix="0" xfId="0">
      <alignment horizontal="general" vertical="bottom"/>
    </xf>
    <xf numFmtId="0" fontId="6" fillId="2" borderId="1" applyAlignment="1" pivotButton="0" quotePrefix="0" xfId="0">
      <alignment horizontal="center" vertical="center"/>
    </xf>
    <xf numFmtId="0" fontId="6" fillId="6" borderId="1" applyAlignment="1" pivotButton="0" quotePrefix="0" xfId="0">
      <alignment horizontal="center" vertical="center"/>
    </xf>
    <xf numFmtId="0" fontId="6" fillId="0" borderId="1" applyAlignment="1" pivotButton="0" quotePrefix="0" xfId="0">
      <alignment horizontal="general" vertical="bottom"/>
    </xf>
    <xf numFmtId="0" fontId="19" fillId="7" borderId="0" applyAlignment="1" pivotButton="0" quotePrefix="0" xfId="0">
      <alignment horizontal="general" vertical="bottom"/>
    </xf>
    <xf numFmtId="0" fontId="12" fillId="0" borderId="0" applyAlignment="1" pivotButton="0" quotePrefix="0" xfId="0">
      <alignment horizontal="general" vertical="bottom"/>
    </xf>
    <xf numFmtId="0" fontId="14" fillId="0" borderId="0" applyAlignment="1" pivotButton="0" quotePrefix="0" xfId="0">
      <alignment horizontal="general" vertical="bottom"/>
    </xf>
    <xf numFmtId="0" fontId="15" fillId="3" borderId="1" applyAlignment="1" pivotButton="0" quotePrefix="0" xfId="0">
      <alignment horizontal="left" vertical="top" wrapText="1"/>
    </xf>
    <xf numFmtId="0" fontId="16" fillId="0" borderId="0" applyAlignment="1" pivotButton="0" quotePrefix="0" xfId="0">
      <alignment horizontal="left" vertical="top" wrapText="1"/>
    </xf>
    <xf numFmtId="0" fontId="19" fillId="7" borderId="0" pivotButton="0" quotePrefix="0" xfId="0"/>
    <xf numFmtId="0" fontId="20" fillId="8" borderId="1" applyAlignment="1" pivotButton="0" quotePrefix="0" xfId="0">
      <alignment horizontal="center" vertical="center"/>
    </xf>
    <xf numFmtId="0" fontId="20" fillId="8" borderId="0" pivotButton="0" quotePrefix="0" xfId="0"/>
    <xf numFmtId="0" fontId="14" fillId="0" borderId="1" applyAlignment="1" pivotButton="0" quotePrefix="0" xfId="0">
      <alignment horizontal="center" vertical="center"/>
    </xf>
    <xf numFmtId="0" fontId="15" fillId="3" borderId="1" applyAlignment="1" pivotButton="0" quotePrefix="0" xfId="0">
      <alignment horizontal="center" vertical="center"/>
    </xf>
    <xf numFmtId="0" fontId="16" fillId="0" borderId="1" applyAlignment="1" pivotButton="0" quotePrefix="0" xfId="0">
      <alignment horizontal="left" vertical="top" wrapText="1"/>
    </xf>
    <xf numFmtId="0" fontId="13" fillId="2" borderId="0" applyAlignment="1" pivotButton="0" quotePrefix="0" xfId="0">
      <alignment horizontal="general" vertical="bottom"/>
    </xf>
    <xf numFmtId="0" fontId="15" fillId="5" borderId="1" applyAlignment="1" pivotButton="0" quotePrefix="0" xfId="0">
      <alignment horizontal="left" vertical="top" wrapText="1"/>
    </xf>
    <xf numFmtId="0" fontId="12" fillId="0" borderId="4" pivotButton="0" quotePrefix="0" xfId="0"/>
    <xf numFmtId="0" fontId="18" fillId="0" borderId="0" applyAlignment="1" pivotButton="0" quotePrefix="0" xfId="0">
      <alignment horizontal="general" vertical="bottom"/>
    </xf>
    <xf numFmtId="0" fontId="17" fillId="4" borderId="1" applyAlignment="1" pivotButton="0" quotePrefix="0" xfId="0">
      <alignment horizontal="center" vertical="center"/>
    </xf>
    <xf numFmtId="0" fontId="15" fillId="0" borderId="1" applyAlignment="1" pivotButton="0" quotePrefix="0" xfId="0">
      <alignment horizontal="general" vertical="bottom"/>
    </xf>
    <xf numFmtId="0" fontId="15" fillId="5" borderId="1" applyAlignment="1" pivotButton="0" quotePrefix="0" xfId="0">
      <alignment horizontal="center" vertical="center"/>
    </xf>
    <xf numFmtId="0" fontId="15" fillId="6" borderId="1" applyAlignment="1" pivotButton="0" quotePrefix="0" xfId="0">
      <alignment horizontal="center" vertical="center"/>
    </xf>
    <xf numFmtId="0" fontId="14" fillId="2" borderId="1" applyAlignment="1" pivotButton="0" quotePrefix="0" xfId="0">
      <alignment horizontal="center" vertical="center"/>
    </xf>
    <xf numFmtId="0" fontId="14" fillId="6" borderId="1" applyAlignment="1" pivotButton="0" quotePrefix="0" xfId="0">
      <alignment horizontal="center" vertical="center"/>
    </xf>
    <xf numFmtId="0" fontId="14" fillId="0" borderId="1" applyAlignment="1" pivotButton="0" quotePrefix="0" xfId="0">
      <alignment horizontal="general" vertical="bottom"/>
    </xf>
    <xf numFmtId="0" fontId="20" fillId="8"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05496"/>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D6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21" min="1" max="1"/>
    <col width="34" customWidth="1" style="21" min="2" max="2"/>
    <col width="64" customWidth="1" style="21" min="3" max="3"/>
  </cols>
  <sheetData>
    <row r="1" ht="17.25" customHeight="1" s="22">
      <c r="A1" s="43" t="inlineStr">
        <is>
          <t>Score Sheet — Cover</t>
        </is>
      </c>
    </row>
    <row r="3" ht="15" customHeight="1" s="22">
      <c r="A3" s="44" t="inlineStr">
        <is>
          <t>Template version</t>
        </is>
      </c>
      <c r="B3" s="44" t="inlineStr">
        <is>
          <t>v4.7 (rubric) · score sheet for evaluate-sdd v4.7 · ZMS v4.6 · dual-judge consensus</t>
        </is>
      </c>
    </row>
    <row r="4" ht="15" customHeight="1" s="22">
      <c r="A4" s="44" t="inlineStr">
        <is>
          <t>Schema authority</t>
        </is>
      </c>
      <c r="B4" s="44" t="inlineStr">
        <is>
          <t>rubric v4.7 §8 (R1, R3–R28; R2 retired under dual-judge); OH v4.7 §3.8, §4</t>
        </is>
      </c>
    </row>
    <row r="5" ht="15" customHeight="1" s="22">
      <c r="A5" s="44" t="inlineStr">
        <is>
          <t>Populated by</t>
        </is>
      </c>
      <c r="B5" s="44" t="inlineStr">
        <is>
          <t>score_sheet_populate.py (Section E — once per lane)</t>
        </is>
      </c>
    </row>
    <row r="6" ht="15" customHeight="1" s="22">
      <c r="A6" s="44" t="inlineStr">
        <is>
          <t>Reads</t>
        </is>
      </c>
      <c r="B6" s="44" t="inlineStr">
        <is>
          <t>output-{a|b}-scoring-bundle.json (after 28-rule bundle validation per rubric §8 / OH §3.8.1)</t>
        </is>
      </c>
    </row>
    <row r="8" ht="15" customHeight="1" s="22">
      <c r="A8" s="43" t="inlineStr">
        <is>
          <t>Run metadata</t>
        </is>
      </c>
    </row>
    <row r="9" ht="15" customHeight="1" s="22">
      <c r="A9" s="44" t="inlineStr">
        <is>
          <t>framework_version</t>
        </is>
      </c>
      <c r="B9" s="44" t="inlineStr">
        <is>
          <t>{{framework_version}}</t>
        </is>
      </c>
      <c r="C9" s="44" t="inlineStr">
        <is>
          <t>Framework version (one consistent set; no separate schema number)</t>
        </is>
      </c>
    </row>
    <row r="10" ht="15" customHeight="1" s="22">
      <c r="A10" s="45" t="inlineStr">
        <is>
          <t>run_id</t>
        </is>
      </c>
      <c r="B10" s="46" t="inlineStr">
        <is>
          <t>{{run_id}}</t>
        </is>
      </c>
      <c r="C10" s="47" t="inlineStr">
        <is>
          <t>intake_validate.py</t>
        </is>
      </c>
    </row>
    <row r="11" ht="15" customHeight="1" s="22">
      <c r="A11" s="45" t="inlineStr">
        <is>
          <t>run_timestamp</t>
        </is>
      </c>
      <c r="B11" s="46" t="inlineStr">
        <is>
          <t>{{run_timestamp}}</t>
        </is>
      </c>
      <c r="C11" s="47" t="inlineStr">
        <is>
          <t>intake_validate.py</t>
        </is>
      </c>
    </row>
    <row r="12" ht="15" customHeight="1" s="22">
      <c r="A12" s="45" t="inlineStr">
        <is>
          <t>blinding_label</t>
        </is>
      </c>
      <c r="B12" s="46" t="inlineStr">
        <is>
          <t>{{blinding_label}}</t>
        </is>
      </c>
      <c r="C12" s="47" t="inlineStr">
        <is>
          <t>Output A or Output B (OH §3.3) — R1 enforces</t>
        </is>
      </c>
    </row>
    <row r="13" ht="15" customHeight="1" s="22">
      <c r="A13" s="45" t="inlineStr">
        <is>
          <t>operator_session_id</t>
        </is>
      </c>
      <c r="B13" s="46" t="inlineStr">
        <is>
          <t>{{operator_session_id}}</t>
        </is>
      </c>
      <c r="C13" s="47" t="inlineStr">
        <is>
          <t>OH §3.3.1</t>
        </is>
      </c>
    </row>
    <row r="14" ht="15" customHeight="1" s="22">
      <c r="A14" s="45" t="inlineStr">
        <is>
          <t>model_version</t>
        </is>
      </c>
      <c r="B14" s="46" t="inlineStr">
        <is>
          <t>{{model_version}}</t>
        </is>
      </c>
      <c r="C14" s="47" t="inlineStr">
        <is>
          <t>Single value applied to both lanes (OH §3.3.1)</t>
        </is>
      </c>
    </row>
    <row r="15" ht="15" customHeight="1" s="22">
      <c r="A15" t="inlineStr">
        <is>
          <t>judge_a_model</t>
        </is>
      </c>
      <c r="B15" t="inlineStr">
        <is>
          <t>{{judge_a_model}}</t>
        </is>
      </c>
      <c r="C15" t="inlineStr">
        <is>
          <t>Judge A — Claude Code model version (header.judge_models)</t>
        </is>
      </c>
    </row>
    <row r="16" ht="15" customHeight="1" s="22">
      <c r="A16" t="inlineStr">
        <is>
          <t>judge_b_model</t>
        </is>
      </c>
      <c r="B16" t="inlineStr">
        <is>
          <t>{{judge_b_model}}</t>
        </is>
      </c>
      <c r="C16" t="inlineStr">
        <is>
          <t>Judge B — Gemini model (header.judge_models)</t>
        </is>
      </c>
    </row>
    <row r="17" ht="15" customHeight="1" s="22">
      <c r="A17" s="45" t="inlineStr">
        <is>
          <t>methodology_version</t>
        </is>
      </c>
      <c r="B17" s="46" t="inlineStr">
        <is>
          <t>{{methodology_version}}</t>
        </is>
      </c>
      <c r="C17" s="47" t="inlineStr">
        <is>
          <t>OH §3.3.1</t>
        </is>
      </c>
    </row>
    <row r="18" ht="15" customHeight="1" s="22">
      <c r="A18" s="45" t="inlineStr">
        <is>
          <t>input_artefact_sha256</t>
        </is>
      </c>
      <c r="B18" s="46" t="inlineStr">
        <is>
          <t>{{input_artefact_sha256}}</t>
        </is>
      </c>
      <c r="C18" s="47" t="inlineStr">
        <is>
          <t>Same-input provenance (OH §3.3.1)</t>
        </is>
      </c>
    </row>
    <row r="19" ht="15" customHeight="1" s="22">
      <c r="A19" s="45" t="inlineStr">
        <is>
          <t>integration_count</t>
        </is>
      </c>
      <c r="B19" s="46" t="inlineStr">
        <is>
          <t>{{integration_count}}</t>
        </is>
      </c>
      <c r="C19" s="47" t="inlineStr">
        <is>
          <t>OH §3.1 distinct-named-systems</t>
        </is>
      </c>
    </row>
    <row r="20" ht="15" customHeight="1" s="22">
      <c r="A20" s="45" t="inlineStr">
        <is>
          <t>integration_heavy</t>
        </is>
      </c>
      <c r="B20" s="46" t="inlineStr">
        <is>
          <t>{{integration_heavy}}</t>
        </is>
      </c>
      <c r="C20" s="47" t="inlineStr">
        <is>
          <t>OH §3.1 — true if ≥4 material integration points</t>
        </is>
      </c>
    </row>
    <row r="21" ht="15" customHeight="1" s="22">
      <c r="A21" s="45" t="inlineStr">
        <is>
          <t>multi_cloud</t>
        </is>
      </c>
      <c r="B21" s="46" t="inlineStr">
        <is>
          <t>{{multi_cloud}}</t>
        </is>
      </c>
      <c r="C21" s="47" t="inlineStr">
        <is>
          <t>Rubric §6.3 — true if 2+ SF clouds in scope</t>
        </is>
      </c>
    </row>
    <row r="22" ht="15" customHeight="1" s="22">
      <c r="A22" s="45" t="inlineStr">
        <is>
          <t>same_model_structural</t>
        </is>
      </c>
      <c r="B22" s="46" t="inlineStr">
        <is>
          <t>true</t>
        </is>
      </c>
      <c r="C22" s="47" t="inlineStr">
        <is>
          <t>Structural by construction (OH §3.3.1)</t>
        </is>
      </c>
    </row>
    <row r="23" ht="15" customHeight="1" s="22">
      <c r="A23" s="45" t="inlineStr">
        <is>
          <t>same_input_structural</t>
        </is>
      </c>
      <c r="B23" s="46" t="inlineStr">
        <is>
          <t>true</t>
        </is>
      </c>
      <c r="C23" s="47" t="inlineStr">
        <is>
          <t>Structural by construction (OH §3.3.1)</t>
        </is>
      </c>
    </row>
    <row r="24" ht="15" customHeight="1" s="22">
      <c r="A24" s="45" t="inlineStr">
        <is>
          <t>methodology_difference_basis</t>
        </is>
      </c>
      <c r="B24" s="46" t="inlineStr">
        <is>
          <t>{{methodology_difference_basis}}</t>
        </is>
      </c>
      <c r="C24" s="47" t="inlineStr">
        <is>
          <t>OH §3.3.1</t>
        </is>
      </c>
    </row>
    <row r="25" ht="15" customHeight="1" s="22">
      <c r="A25" s="45" t="inlineStr">
        <is>
          <t>lane_assignment_method</t>
        </is>
      </c>
      <c r="B25" s="46" t="inlineStr">
        <is>
          <t>{{lane_assignment_method}}</t>
        </is>
      </c>
      <c r="C25" s="47" t="inlineStr">
        <is>
          <t>OH §3.3 — random by default; 'fixed' available for pilot</t>
        </is>
      </c>
    </row>
    <row r="26" ht="15" customHeight="1" s="22">
      <c r="A26" s="45" t="inlineStr">
        <is>
          <t>zms_version</t>
        </is>
      </c>
      <c r="B26" s="46" t="inlineStr">
        <is>
          <t>{{zms_version}}</t>
        </is>
      </c>
      <c r="C26" s="47" t="inlineStr">
        <is>
          <t>ZMS calibration reference version (frozen authored standard)</t>
        </is>
      </c>
    </row>
    <row r="27" ht="15" customHeight="1" s="22">
      <c r="A27" s="45" t="inlineStr">
        <is>
          <t>zms_frozen_at</t>
        </is>
      </c>
      <c r="B27" s="46" t="inlineStr">
        <is>
          <t>{{zms_frozen_at}}</t>
        </is>
      </c>
      <c r="C27" s="47" t="inlineStr">
        <is>
          <t>ZMS freeze timestamp — travels with the run for reproducibility</t>
        </is>
      </c>
    </row>
    <row r="28" ht="15" customHeight="1" s="22">
      <c r="A28" s="45" t="inlineStr">
        <is>
          <t>zms_applicable_criteria_count</t>
        </is>
      </c>
      <c r="B28" s="46" t="inlineStr">
        <is>
          <t>{{zms_applicable_criteria_count}}</t>
        </is>
      </c>
      <c r="C28" s="47" t="inlineStr">
        <is>
          <t>Criteria firing on this engagement (after applicability filter)</t>
        </is>
      </c>
    </row>
    <row r="29" ht="15" customHeight="1" s="22">
      <c r="A29" s="45" t="inlineStr">
        <is>
          <t>zms_critical_floor_active_count</t>
        </is>
      </c>
      <c r="B29" s="46" t="inlineStr">
        <is>
          <t>{{zms_critical_floor_active_count}}</t>
        </is>
      </c>
      <c r="C29" s="47" t="inlineStr">
        <is>
          <t>Critical-floor criteria active for this engagement</t>
        </is>
      </c>
    </row>
    <row r="30" ht="15" customHeight="1" s="22">
      <c r="A30" s="45" t="inlineStr">
        <is>
          <t>applicability_keys_fired</t>
        </is>
      </c>
      <c r="B30" s="46" t="inlineStr">
        <is>
          <t>{{applicability_keys_fired}}</t>
        </is>
      </c>
      <c r="C30" s="47" t="inlineStr">
        <is>
          <t>Applicability flags that fired (from intake_validate.py)</t>
        </is>
      </c>
    </row>
    <row r="31">
      <c r="A31" s="45" t="inlineStr">
        <is>
          <t>(reserved)</t>
        </is>
      </c>
      <c r="B31" s="46" t="inlineStr">
        <is>
          <t>—</t>
        </is>
      </c>
      <c r="C31" s="47" t="inlineStr">
        <is>
          <t>Benchmark Library retired; ZMS is the frozen calibration reference</t>
        </is>
      </c>
    </row>
    <row r="32">
      <c r="A32" s="45" t="inlineStr">
        <is>
          <t>dim_4_floor_cap</t>
        </is>
      </c>
      <c r="B32" s="46" t="inlineStr">
        <is>
          <t>{{dim_4_floor_cap}}</t>
        </is>
      </c>
      <c r="C32" s="47" t="inlineStr">
        <is>
          <t>From Section C content-mapping.xlsx (OH §3.5.2)</t>
        </is>
      </c>
    </row>
    <row r="33" ht="15" customHeight="1" s="22">
      <c r="A33" s="45" t="inlineStr">
        <is>
          <t>stub_missing_count_over_8_required</t>
        </is>
      </c>
      <c r="B33" s="46" t="inlineStr">
        <is>
          <t>{{stub_missing_count}}</t>
        </is>
      </c>
      <c r="C33" s="47" t="inlineStr">
        <is>
          <t>From Section C</t>
        </is>
      </c>
    </row>
    <row r="34" ht="15" customHeight="1" s="22"/>
    <row r="35" ht="15" customHeight="1" s="22">
      <c r="A35" s="48" t="n"/>
    </row>
    <row r="36" ht="15" customHeight="1" s="22">
      <c r="A36" s="43" t="inlineStr">
        <is>
          <t>Bundle validation (R1–R28 — rubric §8 / OH §3.8.1; R2 retired under dual-judge)</t>
        </is>
      </c>
    </row>
    <row r="37" ht="15" customHeight="1" s="22">
      <c r="A37" s="49" t="inlineStr">
        <is>
          <t>Rule</t>
        </is>
      </c>
      <c r="B37" s="49" t="inlineStr">
        <is>
          <t>Result</t>
        </is>
      </c>
      <c r="C37" s="49" t="inlineStr">
        <is>
          <t>Detail</t>
        </is>
      </c>
      <c r="D37" s="50" t="n"/>
    </row>
    <row r="38" ht="15" customHeight="1" s="22">
      <c r="A38" s="51" t="inlineStr">
        <is>
          <t>R1</t>
        </is>
      </c>
      <c r="B38" s="52" t="inlineStr">
        <is>
          <t>{{R1_result}}</t>
        </is>
      </c>
      <c r="C38" s="53" t="inlineStr">
        <is>
          <t>blinding_label matches requested label</t>
        </is>
      </c>
    </row>
    <row r="39" ht="15" customHeight="1" s="22">
      <c r="A39" s="51" t="inlineStr">
        <is>
          <t>R2</t>
        </is>
      </c>
      <c r="B39" s="52" t="inlineStr">
        <is>
          <t>{{R2_result}}</t>
        </is>
      </c>
      <c r="C39" s="53" t="inlineStr">
        <is>
          <t>retired under dual-judge (five-run arrays are a five-pass-protocol structure)</t>
        </is>
      </c>
    </row>
    <row r="40" ht="15" customHeight="1" s="22">
      <c r="A40" s="51" t="inlineStr">
        <is>
          <t>R3</t>
        </is>
      </c>
      <c r="B40" s="52" t="inlineStr">
        <is>
          <t>{{R3_result}}</t>
        </is>
      </c>
      <c r="C40" s="53" t="inlineStr">
        <is>
          <t>consensus per-dim recomputation (Σ consensus sub-scores; Dim-3 net of capped deductions, floor 0; Dim-4 floored)</t>
        </is>
      </c>
    </row>
    <row r="41" ht="15" customHeight="1" s="22">
      <c r="A41" s="51" t="inlineStr">
        <is>
          <t>R4</t>
        </is>
      </c>
      <c r="B41" s="52" t="inlineStr">
        <is>
          <t>{{R4_result}}</t>
        </is>
      </c>
      <c r="C41" s="53" t="inlineStr">
        <is>
          <t>per-judge totals present and numeric for both judges on all 7 dims; consensus inside the judges' envelope</t>
        </is>
      </c>
    </row>
    <row r="42" ht="15" customHeight="1" s="22">
      <c r="A42" s="51" t="inlineStr">
        <is>
          <t>R5</t>
        </is>
      </c>
      <c r="B42" s="52" t="inlineStr">
        <is>
          <t>{{R5_result}}</t>
        </is>
      </c>
      <c r="C42" s="53" t="inlineStr">
        <is>
          <t>agreement fields consistent with judge values (per_dim_agreement = 1 − |A−B|/dim_max; agreement_stats coherent)</t>
        </is>
      </c>
    </row>
    <row r="43" ht="15" customHeight="1" s="22">
      <c r="A43" s="51" t="inlineStr">
        <is>
          <t>R6</t>
        </is>
      </c>
      <c r="B43" s="52" t="inlineStr">
        <is>
          <t>{{R6_result}}</t>
        </is>
      </c>
      <c r="C43" s="53" t="inlineStr">
        <is>
          <t>per_dim_band ∈ {STRONG, GOOD, ADEQUATE, WEAK}</t>
        </is>
      </c>
    </row>
    <row r="44" ht="21.75" customHeight="1" s="22">
      <c r="A44" s="51" t="inlineStr">
        <is>
          <t>R7</t>
        </is>
      </c>
      <c r="B44" s="52" t="inlineStr">
        <is>
          <t>{{R7_result}}</t>
        </is>
      </c>
      <c r="C44" s="53" t="inlineStr">
        <is>
          <t>per_dim_truth_source schema matches rubric §4.4 (ZMS in calibration_role)</t>
        </is>
      </c>
    </row>
    <row r="45" ht="15" customHeight="1" s="22">
      <c r="A45" s="51" t="inlineStr">
        <is>
          <t>R8</t>
        </is>
      </c>
      <c r="B45" s="52" t="inlineStr">
        <is>
          <t>{{R8_result}}</t>
        </is>
      </c>
      <c r="C45" s="53" t="inlineStr">
        <is>
          <t>dim_3_sub_criteria structure (4 or 5 entries depending on multi_cloud)</t>
        </is>
      </c>
    </row>
    <row r="46" ht="15" customHeight="1" s="22">
      <c r="A46" s="51" t="inlineStr">
        <is>
          <t>R9</t>
        </is>
      </c>
      <c r="B46" s="52" t="inlineStr">
        <is>
          <t>{{R9_result}}</t>
        </is>
      </c>
      <c r="C46" s="53" t="inlineStr">
        <is>
          <t>dim_4_sub_criteria CP+ADQ; floor_cap matches Section C</t>
        </is>
      </c>
    </row>
    <row r="47" ht="15" customHeight="1" s="22">
      <c r="A47" s="51" t="inlineStr">
        <is>
          <t>R10</t>
        </is>
      </c>
      <c r="B47" s="52" t="inlineStr">
        <is>
          <t>{{R10_result}}</t>
        </is>
      </c>
      <c r="C47" s="53" t="inlineStr">
        <is>
          <t>Deduction format (ID ^(TRUST|RR)-\d+$; TRUST ∈ {−1,−3,−5}, RR ∈ {−1,−3}; non-empty passage; RR requires salesforce_source)</t>
        </is>
      </c>
    </row>
    <row r="48" ht="15" customHeight="1" s="22">
      <c r="A48" s="51" t="inlineStr">
        <is>
          <t>R11</t>
        </is>
      </c>
      <c r="B48" s="52" t="inlineStr">
        <is>
          <t>{{R11_result}}</t>
        </is>
      </c>
      <c r="C48" s="53" t="inlineStr">
        <is>
          <t>Dim 1/2/6 firewall — no ZMS-as-requirements-authority phrasings</t>
        </is>
      </c>
    </row>
    <row r="49" ht="15" customHeight="1" s="22">
      <c r="A49" s="51" t="inlineStr">
        <is>
          <t>R12</t>
        </is>
      </c>
      <c r="B49" s="52" t="inlineStr">
        <is>
          <t>{{R12_result}}</t>
        </is>
      </c>
      <c r="C49" s="53" t="inlineStr">
        <is>
          <t>zms_calibration_citations density (non-empty all 7 dims; zms_criterion_id + source_label)</t>
        </is>
      </c>
    </row>
    <row r="50" ht="15" customHeight="1" s="22">
      <c r="A50" s="51" t="inlineStr">
        <is>
          <t>R13</t>
        </is>
      </c>
      <c r="B50" s="52" t="inlineStr">
        <is>
          <t>{{R13_result}}</t>
        </is>
      </c>
      <c r="C50" s="53" t="inlineStr">
        <is>
          <t>per_dim_key_reasoning ↔ zms_calibration_citation linkage (≥1 per dim)</t>
        </is>
      </c>
    </row>
    <row r="51" ht="15" customHeight="1" s="22">
      <c r="A51" s="51" t="inlineStr">
        <is>
          <t>R14</t>
        </is>
      </c>
      <c r="B51" s="52" t="inlineStr">
        <is>
          <t>{{R14_result}}</t>
        </is>
      </c>
      <c r="C51" s="53" t="inlineStr">
        <is>
          <t>Blinding-leak scan (reasoning, anchors, AND reconcile ruling_citation / ruling_rationale / dissent records)</t>
        </is>
      </c>
    </row>
    <row r="52" ht="15" customHeight="1" s="22">
      <c r="A52" s="51" t="inlineStr">
        <is>
          <t>R15</t>
        </is>
      </c>
      <c r="B52" s="52" t="inlineStr">
        <is>
          <t>{{R15_result}}</t>
        </is>
      </c>
      <c r="C52" s="53" t="inlineStr">
        <is>
          <t>blinding_attestation verbatim</t>
        </is>
      </c>
    </row>
    <row r="53">
      <c r="A53" s="51" t="inlineStr">
        <is>
          <t>R16</t>
        </is>
      </c>
      <c r="B53" s="52" t="inlineStr">
        <is>
          <t>{{R16_result}}</t>
        </is>
      </c>
      <c r="C53" s="53" t="inlineStr">
        <is>
          <t>non_bias_attestation verbatim (cites ZMS depth_indicator components)</t>
        </is>
      </c>
    </row>
    <row r="54" ht="15" customHeight="1" s="22">
      <c r="A54" s="51" t="inlineStr">
        <is>
          <t>R17</t>
        </is>
      </c>
      <c r="B54" s="52" t="inlineStr">
        <is>
          <t>{{R17_result}}</t>
        </is>
      </c>
      <c r="C54" s="53" t="inlineStr">
        <is>
          <t>Bundle well-formed JSON; all required top-level fields present</t>
        </is>
      </c>
    </row>
    <row r="55" ht="60" customHeight="1" s="22">
      <c r="A55" s="51" t="inlineStr">
        <is>
          <t>R18</t>
        </is>
      </c>
      <c r="B55" s="52" t="inlineStr">
        <is>
          <t>{{R18_result}}</t>
        </is>
      </c>
      <c r="C55" s="53" t="inlineStr">
        <is>
          <t>Operator-BRD citation on Dim 1/2/6 (story-ID or AC anchor)</t>
        </is>
      </c>
    </row>
    <row r="56" ht="45" customHeight="1" s="22">
      <c r="A56" s="44" t="inlineStr">
        <is>
          <t>R19</t>
        </is>
      </c>
      <c r="B56" s="44" t="inlineStr">
        <is>
          <t>{{R19_result}}</t>
        </is>
      </c>
      <c r="C56" s="44" t="inlineStr">
        <is>
          <t>Every applicable ZMS criterion appears in content_coding.zms_components</t>
        </is>
      </c>
    </row>
    <row r="57">
      <c r="A57" s="54" t="inlineStr">
        <is>
          <t>R20</t>
        </is>
      </c>
      <c r="B57" s="44" t="inlineStr">
        <is>
          <t>{{R20_result}}</t>
        </is>
      </c>
      <c r="C57" s="44" t="inlineStr">
        <is>
          <t>Partial/Absent on Zennify-source criterion carries evidence anchor</t>
        </is>
      </c>
    </row>
    <row r="58">
      <c r="A58" s="45" t="inlineStr">
        <is>
          <t>R21</t>
        </is>
      </c>
      <c r="B58" s="55" t="inlineStr">
        <is>
          <t>{{R21_result}}</t>
        </is>
      </c>
      <c r="C58" s="44" t="inlineStr">
        <is>
          <t>Every TRUST/RR deduction traces to schedule (TRUST) or release-awareness finding (RR)</t>
        </is>
      </c>
    </row>
    <row r="59">
      <c r="A59" s="45" t="inlineStr">
        <is>
          <t>R22</t>
        </is>
      </c>
      <c r="B59" s="55" t="inlineStr">
        <is>
          <t>{{R22_result}}</t>
        </is>
      </c>
      <c r="C59" s="56" t="inlineStr">
        <is>
          <t>Every RR deduction's source URL matches its release-awareness finding</t>
        </is>
      </c>
      <c r="D59" s="34" t="n"/>
    </row>
    <row r="60">
      <c r="A60" s="44" t="inlineStr">
        <is>
          <t>R23</t>
        </is>
      </c>
      <c r="B60" s="44" t="inlineStr">
        <is>
          <t>{{R23_result}}</t>
        </is>
      </c>
      <c r="C60" s="44" t="inlineStr">
        <is>
          <t>Every release-awareness source URL on a Salesforce-controlled domain</t>
        </is>
      </c>
    </row>
    <row r="61">
      <c r="A61" s="44" t="inlineStr">
        <is>
          <t>R24</t>
        </is>
      </c>
      <c r="B61" s="44" t="inlineStr">
        <is>
          <t>{{R24_result}}</t>
        </is>
      </c>
      <c r="C61" s="44" t="inlineStr">
        <is>
          <t>Every release-currency action traces to a Release Currency Audit (Appendix B) mechanism row</t>
        </is>
      </c>
    </row>
    <row r="62">
      <c r="A62" s="21" t="inlineStr">
        <is>
          <t>R25</t>
        </is>
      </c>
      <c r="B62" s="21" t="inlineStr">
        <is>
          <t>{{R25_result}}</t>
        </is>
      </c>
      <c r="C62" s="21" t="inlineStr">
        <is>
          <t>Evidence-anchor groundedness + criterion relevance — applied to consensus citations, BOTH judges' retained anchors, and every reconcile ruling citation (R25b/c/e provable when source index supplied)</t>
        </is>
      </c>
    </row>
    <row r="63">
      <c r="A63" t="inlineStr">
        <is>
          <t>R26</t>
        </is>
      </c>
      <c r="B63" t="inlineStr">
        <is>
          <t>{{R26_result}}</t>
        </is>
      </c>
      <c r="C63" t="inlineStr">
        <is>
          <t>Every applicable criterion has consensus_provenance; every non-agreed provenance carries judge_entries + (ruling citation or dissent)</t>
        </is>
      </c>
    </row>
    <row r="64">
      <c r="A64" t="inlineStr">
        <is>
          <t>R27</t>
        </is>
      </c>
      <c r="B64" t="inlineStr">
        <is>
          <t>{{R27_result}}</t>
        </is>
      </c>
      <c r="C64" t="inlineStr">
        <is>
          <t>Dissent integrity: conservative_resolution is the weaker verdict / lower score of the two judges; every dissent ruling appears exactly once in dissents</t>
        </is>
      </c>
    </row>
    <row r="65">
      <c r="A65" t="inlineStr">
        <is>
          <t>R28</t>
        </is>
      </c>
      <c r="B65" t="inlineStr">
        <is>
          <t>{{R28_result}}</t>
        </is>
      </c>
      <c r="C65" t="inlineStr">
        <is>
          <t>judge_independence_attestation verbatim; judge_runs_by_dimension contains exactly the two configured judges + consensus</t>
        </is>
      </c>
    </row>
    <row r="66">
      <c r="A66" s="43" t="inlineStr">
        <is>
          <t>Attestations (R15, R16, R28 — must match template verbatim)</t>
        </is>
      </c>
    </row>
    <row r="67">
      <c r="A67" s="44" t="inlineStr">
        <is>
          <t>Non-bias attestation</t>
        </is>
      </c>
      <c r="B67" s="44" t="inlineStr">
        <is>
          <t>I confirm that every band assignment traces to a ZMS criterion verdict cited in zms_calibration_citations; on Dim 1/2/6 every band assignment also traces to an operator-BRD passage cited in per_dim_key_reasoning; no scoring was based on prior beliefs about Salesforce architecture independent of the ZMS calibration reference.</t>
        </is>
      </c>
    </row>
    <row r="68">
      <c r="A68" s="44" t="inlineStr">
        <is>
          <t>Blinding attestation</t>
        </is>
      </c>
      <c r="B68" s="44" t="inlineStr">
        <is>
          <t>I confirm that this scoring bundle was produced without knowledge of which lane (ZennAgent or off-the-shelf) this SDD represents. All references use the blinding label assigned at intake.</t>
        </is>
      </c>
    </row>
    <row r="69">
      <c r="A69" t="inlineStr">
        <is>
          <t>Judge-independence attestation</t>
        </is>
      </c>
      <c r="B69" t="inlineStr">
        <is>
          <t>I confirm that each judge scored this SDD independently from an identical blinded packet, that neither judge's output was available to the other before reconciliation, and that every consensus value traces to an agreed verdict, an evidence-cited ruling, or a recorded dissent resolved conservatively.</t>
        </is>
      </c>
    </row>
  </sheetData>
  <mergeCells count="6">
    <mergeCell ref="A1:D1"/>
    <mergeCell ref="A8:D8"/>
    <mergeCell ref="A61:D61"/>
    <mergeCell ref="B63:D63"/>
    <mergeCell ref="A33:D33"/>
    <mergeCell ref="B62:D62"/>
  </mergeCells>
  <dataValidations count="1">
    <dataValidation sqref="B35:B52" showDropDown="0" showInputMessage="0" showErrorMessage="0" allowBlank="1" type="list" errorStyle="stop" operator="between">
      <formula1>"PASS,FAIL"</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I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21" min="1" max="1"/>
    <col width="28" customWidth="1" style="21" min="2" max="2"/>
    <col width="10" customWidth="1" style="21" min="3" max="4"/>
    <col width="12" customWidth="1" style="21" min="5" max="5"/>
    <col width="10" customWidth="1" style="21" min="6" max="6"/>
    <col width="14" customWidth="1" style="21" min="7" max="7"/>
    <col width="12" customWidth="1" style="21" min="8" max="9"/>
  </cols>
  <sheetData>
    <row r="1" ht="15.75" customHeight="1" s="22">
      <c r="A1" s="57" t="inlineStr">
        <is>
          <t>Per-Dimension Scoring — Final Means, Bands, Gates</t>
        </is>
      </c>
    </row>
    <row r="2" ht="36" customHeight="1" s="22">
      <c r="A2" s="47" t="inlineStr">
        <is>
          <t>Per-dimension score = the dual-judge CONSENSUS value: each judge scores once from a byte-identical blinded packet; divergences are reconciled on cited SDD evidence; dissents resolve conservatively and are listed in the report's Dissent &amp; Reconciliation annex. Final per-dim score = consensus after deductions (Dim 3) and floor (Dim 4). 80% gate per rubric §8; band per rubric §3. Dissent flag marks dimensions touched by a recorded dissent.</t>
        </is>
      </c>
    </row>
    <row r="4" ht="27.75" customHeight="1" s="22">
      <c r="A4" s="49" t="inlineStr">
        <is>
          <t>Dim</t>
        </is>
      </c>
      <c r="B4" s="49" t="inlineStr">
        <is>
          <t>Dimension</t>
        </is>
      </c>
      <c r="C4" s="49" t="inlineStr">
        <is>
          <t>Max weight</t>
        </is>
      </c>
      <c r="D4" s="49" t="inlineStr">
        <is>
          <t>Mean score</t>
        </is>
      </c>
      <c r="E4" s="49" t="inlineStr">
        <is>
          <t>Deductions applied</t>
        </is>
      </c>
      <c r="F4" s="49" t="inlineStr">
        <is>
          <t>Final score</t>
        </is>
      </c>
      <c r="G4" s="49" t="inlineStr">
        <is>
          <t>Band</t>
        </is>
      </c>
      <c r="H4" s="49" t="inlineStr">
        <is>
          <t>Gate status</t>
        </is>
      </c>
      <c r="I4" s="49" t="inlineStr">
        <is>
          <t>Gate (pass/fail)</t>
        </is>
      </c>
    </row>
    <row r="5" ht="21.75" customHeight="1" s="22">
      <c r="A5" s="51" t="n">
        <v>1</v>
      </c>
      <c r="B5" s="59" t="inlineStr">
        <is>
          <t>Business Requirements Comprehension</t>
        </is>
      </c>
      <c r="C5" s="60" t="n">
        <v>15</v>
      </c>
      <c r="D5" s="52" t="inlineStr">
        <is>
          <t>{{dim_1_mean}}</t>
        </is>
      </c>
      <c r="E5" s="52" t="inlineStr">
        <is>
          <t>{{dim_1_deductions}}</t>
        </is>
      </c>
      <c r="F5" s="61">
        <f>IFERROR(MAX(0,D5+E5),"")</f>
        <v/>
      </c>
      <c r="G5" s="52" t="inlineStr">
        <is>
          <t>{{dim_1_band}}</t>
        </is>
      </c>
      <c r="H5" s="60" t="inlineStr">
        <is>
          <t>{{dim_1_gate}}</t>
        </is>
      </c>
      <c r="I5" s="61">
        <f>IF(F5="","",IF(F5&gt;=0.8*C5,"PASS",IF(F5&gt;=0.7*C5,"MARGINAL_PASS",IF(F5&gt;=0.65*C5,"MARGINAL_FAIL","FAIL"))))</f>
        <v/>
      </c>
    </row>
    <row r="6" ht="21.75" customHeight="1" s="22">
      <c r="A6" s="51" t="n">
        <v>2</v>
      </c>
      <c r="B6" s="59" t="inlineStr">
        <is>
          <t>Requirement Coverage</t>
        </is>
      </c>
      <c r="C6" s="60" t="n">
        <v>15</v>
      </c>
      <c r="D6" s="52" t="inlineStr">
        <is>
          <t>{{dim_2_mean}}</t>
        </is>
      </c>
      <c r="E6" s="52" t="inlineStr">
        <is>
          <t>{{dim_2_deductions}}</t>
        </is>
      </c>
      <c r="F6" s="61">
        <f>IFERROR(MAX(0,D6+E6),"")</f>
        <v/>
      </c>
      <c r="G6" s="52" t="inlineStr">
        <is>
          <t>{{dim_2_band}}</t>
        </is>
      </c>
      <c r="H6" s="60" t="inlineStr">
        <is>
          <t>{{dim_2_gate}}</t>
        </is>
      </c>
      <c r="I6" s="61">
        <f>IF(F6="","",IF(F6&gt;=0.8*C6,"PASS",IF(F6&gt;=0.7*C6,"MARGINAL_PASS",IF(F6&gt;=0.65*C6,"MARGINAL_FAIL","FAIL"))))</f>
        <v/>
      </c>
    </row>
    <row r="7" ht="21.75" customHeight="1" s="22">
      <c r="A7" s="51" t="n">
        <v>3</v>
      </c>
      <c r="B7" s="59" t="inlineStr">
        <is>
          <t>Salesforce Solution Fit</t>
        </is>
      </c>
      <c r="C7" s="60" t="n">
        <v>20</v>
      </c>
      <c r="D7" s="52" t="inlineStr">
        <is>
          <t>{{dim_3_mean}}</t>
        </is>
      </c>
      <c r="E7" s="52" t="inlineStr">
        <is>
          <t>{{dim_3_deductions}}</t>
        </is>
      </c>
      <c r="F7" s="61">
        <f>IFERROR(MAX(0,D7+E7),"")</f>
        <v/>
      </c>
      <c r="G7" s="52" t="inlineStr">
        <is>
          <t>{{dim_3_band}}</t>
        </is>
      </c>
      <c r="H7" s="60" t="inlineStr">
        <is>
          <t>{{dim_3_gate}}</t>
        </is>
      </c>
      <c r="I7" s="61">
        <f>IF(F7="","",IF(F7&gt;=0.8*C7,"PASS",IF(F7&gt;=0.7*C7,"MARGINAL_PASS",IF(F7&gt;=0.65*C7,"MARGINAL_FAIL","FAIL"))))</f>
        <v/>
      </c>
    </row>
    <row r="8" ht="21.75" customHeight="1" s="22">
      <c r="A8" s="51" t="n">
        <v>4</v>
      </c>
      <c r="B8" s="59" t="inlineStr">
        <is>
          <t>Design Specificity</t>
        </is>
      </c>
      <c r="C8" s="60" t="n">
        <v>15</v>
      </c>
      <c r="D8" s="52" t="inlineStr">
        <is>
          <t>{{dim_4_mean}}</t>
        </is>
      </c>
      <c r="E8" s="52" t="inlineStr">
        <is>
          <t>{{dim_4_deductions}}</t>
        </is>
      </c>
      <c r="F8" s="61">
        <f>IFERROR(MAX(0,D8+E8),"")</f>
        <v/>
      </c>
      <c r="G8" s="52" t="inlineStr">
        <is>
          <t>{{dim_4_band}}</t>
        </is>
      </c>
      <c r="H8" s="60" t="inlineStr">
        <is>
          <t>{{dim_4_gate}}</t>
        </is>
      </c>
      <c r="I8" s="61">
        <f>IF(F8="","",IF(F8&gt;=0.8*C8,"PASS",IF(F8&gt;=0.7*C8,"MARGINAL_PASS",IF(F8&gt;=0.65*C8,"MARGINAL_FAIL","FAIL"))))</f>
        <v/>
      </c>
    </row>
    <row r="9" ht="21.75" customHeight="1" s="22">
      <c r="A9" s="51" t="n">
        <v>5</v>
      </c>
      <c r="B9" s="59" t="inlineStr">
        <is>
          <t>Dependencies and Assumptions</t>
        </is>
      </c>
      <c r="C9" s="61">
        <f>IF(OR(Cover!B18=TRUE(),UPPER(TRIM(Cover!B18&amp;""))="TRUE"),15,10)</f>
        <v/>
      </c>
      <c r="D9" s="52" t="inlineStr">
        <is>
          <t>{{dim_5_mean}}</t>
        </is>
      </c>
      <c r="E9" s="52" t="inlineStr">
        <is>
          <t>{{dim_5_deductions}}</t>
        </is>
      </c>
      <c r="F9" s="61">
        <f>IFERROR(MAX(0,D9+E9),"")</f>
        <v/>
      </c>
      <c r="G9" s="52" t="inlineStr">
        <is>
          <t>{{dim_5_band}}</t>
        </is>
      </c>
      <c r="H9" s="61" t="inlineStr">
        <is>
          <t>{{dim_5_gate}}</t>
        </is>
      </c>
      <c r="I9" s="61">
        <f>IF(F9="","",IF(F9&gt;=0.8*C9,"PASS",IF(F9&gt;=0.7*C9,"MARGINAL_PASS",IF(F9&gt;=0.65*C9,"MARGINAL_FAIL","FAIL"))))</f>
        <v/>
      </c>
    </row>
    <row r="10" ht="21.75" customHeight="1" s="22">
      <c r="A10" s="51" t="n">
        <v>6</v>
      </c>
      <c r="B10" s="59" t="inlineStr">
        <is>
          <t>Scope Discipline</t>
        </is>
      </c>
      <c r="C10" s="60" t="n">
        <v>10</v>
      </c>
      <c r="D10" s="52" t="inlineStr">
        <is>
          <t>{{dim_6_mean}}</t>
        </is>
      </c>
      <c r="E10" s="52" t="inlineStr">
        <is>
          <t>{{dim_6_deductions}}</t>
        </is>
      </c>
      <c r="F10" s="61">
        <f>IFERROR(MAX(0,D10+E10),"")</f>
        <v/>
      </c>
      <c r="G10" s="52" t="inlineStr">
        <is>
          <t>{{dim_6_band}}</t>
        </is>
      </c>
      <c r="H10" s="60" t="inlineStr">
        <is>
          <t>{{dim_6_gate}}</t>
        </is>
      </c>
      <c r="I10" s="61">
        <f>IF(F10="","",IF(F10&gt;=0.8*C10,"PASS",IF(F10&gt;=0.7*C10,"MARGINAL_PASS",IF(F10&gt;=0.65*C10,"MARGINAL_FAIL","FAIL"))))</f>
        <v/>
      </c>
    </row>
    <row r="11" ht="21.75" customHeight="1" s="22">
      <c r="A11" s="51" t="n">
        <v>7</v>
      </c>
      <c r="B11" s="59" t="inlineStr">
        <is>
          <t>Estimation Readiness</t>
        </is>
      </c>
      <c r="C11" s="61">
        <f>IF(OR(Cover!B18=TRUE(),UPPER(TRIM(Cover!B18&amp;""))="TRUE"),10,15)</f>
        <v/>
      </c>
      <c r="D11" s="52" t="inlineStr">
        <is>
          <t>{{dim_7_mean}}</t>
        </is>
      </c>
      <c r="E11" s="52" t="inlineStr">
        <is>
          <t>{{dim_7_deductions}}</t>
        </is>
      </c>
      <c r="F11" s="61">
        <f>IFERROR(MAX(0,D11+E11),"")</f>
        <v/>
      </c>
      <c r="G11" s="52" t="inlineStr">
        <is>
          <t>{{dim_7_band}}</t>
        </is>
      </c>
      <c r="H11" s="61" t="inlineStr">
        <is>
          <t>{{dim_7_gate}}</t>
        </is>
      </c>
      <c r="I11" s="61">
        <f>IF(F11="","",IF(F11&gt;=0.8*C11,"PASS",IF(F11&gt;=0.7*C11,"MARGINAL_PASS",IF(F11&gt;=0.65*C11,"MARGINAL_FAIL","FAIL"))))</f>
        <v/>
      </c>
    </row>
    <row r="13" ht="15" customHeight="1" s="22">
      <c r="A13" s="39" t="n"/>
      <c r="B13" s="62" t="inlineStr">
        <is>
          <t>TOTAL</t>
        </is>
      </c>
      <c r="C13" s="63">
        <f>SUM(C5:C11)</f>
        <v/>
      </c>
      <c r="D13" s="39" t="n"/>
      <c r="E13" s="39" t="n"/>
      <c r="F13" s="63">
        <f>SUM(F5:F11)</f>
        <v/>
      </c>
      <c r="G13" s="39" t="n"/>
      <c r="H13" s="39" t="n"/>
      <c r="I13" s="63">
        <f>IF(COUNTIF(I5:I11,"FAIL")&gt;0,"FAIL",IF(COUNTIF(I5:I11,"MARGINAL_FAIL")&gt;0,"MARGINAL_FAIL",IF(COUNTIF(I5:I11,"MARGINAL_PASS")&gt;0,"MARGINAL_PASS","PASS")))</f>
        <v/>
      </c>
    </row>
    <row r="14">
      <c r="A14" s="44" t="inlineStr">
        <is>
          <t>Overall gate</t>
        </is>
      </c>
      <c r="H14" s="44" t="inlineStr">
        <is>
          <t>{{overall_gate}}</t>
        </is>
      </c>
    </row>
  </sheetData>
  <mergeCells count="2">
    <mergeCell ref="A1:I1"/>
    <mergeCell ref="A2:I2"/>
  </mergeCells>
  <dataValidations count="1">
    <dataValidation sqref="G5:G11" showDropDown="0" showInputMessage="0" showErrorMessage="0" allowBlank="1" type="list" errorStyle="stop" operator="between">
      <formula1>"Exemplary,Strong,Adequate,Weak,Inadequate"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K2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21" min="1" max="1"/>
    <col width="12" customWidth="1" style="21" min="2" max="2"/>
    <col width="30" customWidth="1" style="21" min="3" max="3"/>
    <col width="10" customWidth="1" style="21" min="4" max="4"/>
    <col width="8" customWidth="1" style="21" min="5" max="10"/>
    <col width="40" customWidth="1" style="21" min="11" max="11"/>
  </cols>
  <sheetData>
    <row r="1" ht="15.75" customHeight="1" s="22">
      <c r="A1" s="57" t="inlineStr">
        <is>
          <t>Sub-Criteria Scores — All 7 Dimensions</t>
        </is>
      </c>
    </row>
    <row r="2" ht="49.5" customHeight="1" s="22">
      <c r="A2" s="47" t="inlineStr">
        <is>
          <t>21 sub-criteria across 7 dimensions (22 if multi_cloud=true — adds 3E). Each row records Judge A (Claude) and Judge B (Gemini) — each an independent cold read from a byte-identical blinded packet — the consensus value, and its provenance (agreed / adopt_claude / adopt_gemini / meet_between / dissent). Dissent consensus is the conservative minimum; the reasoning excerpt carries the audit trail. Sub-criterion max varies with multi_cloud (Dim 3); Dim-5/7 weight swap (integration_heavy) applies at dimension level.</t>
        </is>
      </c>
    </row>
    <row r="4" ht="27.75" customHeight="1" s="22">
      <c r="A4" s="49" t="inlineStr">
        <is>
          <t>Dim</t>
        </is>
      </c>
      <c r="B4" s="49" t="inlineStr">
        <is>
          <t>Sub-criterion ID</t>
        </is>
      </c>
      <c r="C4" s="49" t="inlineStr">
        <is>
          <t>Sub-criterion name</t>
        </is>
      </c>
      <c r="D4" s="49" t="inlineStr">
        <is>
          <t>Max (this run)</t>
        </is>
      </c>
      <c r="E4" s="49" t="inlineStr">
        <is>
          <t>Judge A (Claude)</t>
        </is>
      </c>
      <c r="F4" s="49" t="inlineStr">
        <is>
          <t>Judge B (Gemini)</t>
        </is>
      </c>
      <c r="G4" s="49" t="inlineStr">
        <is>
          <t>Consensus</t>
        </is>
      </c>
      <c r="H4" s="49" t="inlineStr">
        <is>
          <t>Provenance</t>
        </is>
      </c>
      <c r="I4" s="49" t="n"/>
      <c r="J4" s="49" t="inlineStr">
        <is>
          <t>Score (= consensus)</t>
        </is>
      </c>
      <c r="K4" s="49" t="inlineStr">
        <is>
          <t>Reasoning excerpt</t>
        </is>
      </c>
    </row>
    <row r="5" ht="25.5" customHeight="1" s="22">
      <c r="A5" s="51" t="n">
        <v>1</v>
      </c>
      <c r="B5" s="51" t="inlineStr">
        <is>
          <t>1A</t>
        </is>
      </c>
      <c r="C5" s="59" t="inlineStr">
        <is>
          <t>Requirement Parsing Depth</t>
        </is>
      </c>
      <c r="D5" s="60" t="n">
        <v>5</v>
      </c>
      <c r="E5" s="52" t="inlineStr">
        <is>
          <t>{{1A_cc}}</t>
        </is>
      </c>
      <c r="F5" s="52" t="inlineStr">
        <is>
          <t>{{1A_gm}}</t>
        </is>
      </c>
      <c r="G5" s="52" t="inlineStr">
        <is>
          <t>{{1A_con}}</t>
        </is>
      </c>
      <c r="H5" s="52" t="inlineStr">
        <is>
          <t>{{1A_prov}}</t>
        </is>
      </c>
      <c r="I5" s="52" t="n"/>
      <c r="J5" s="61">
        <f>IFERROR(G5,"")</f>
        <v/>
      </c>
      <c r="K5" s="46" t="inlineStr">
        <is>
          <t>{{1A_reasoning}}</t>
        </is>
      </c>
    </row>
    <row r="6" ht="25.5" customHeight="1" s="22">
      <c r="A6" s="51" t="n">
        <v>1</v>
      </c>
      <c r="B6" s="51" t="inlineStr">
        <is>
          <t>1B</t>
        </is>
      </c>
      <c r="C6" s="59" t="inlineStr">
        <is>
          <t>Stakeholder and Persona Recognition</t>
        </is>
      </c>
      <c r="D6" s="60" t="n">
        <v>5</v>
      </c>
      <c r="E6" s="52" t="inlineStr">
        <is>
          <t>{{1B_cc}}</t>
        </is>
      </c>
      <c r="F6" s="52" t="inlineStr">
        <is>
          <t>{{1B_gm}}</t>
        </is>
      </c>
      <c r="G6" s="52" t="inlineStr">
        <is>
          <t>{{1B_con}}</t>
        </is>
      </c>
      <c r="H6" s="52" t="inlineStr">
        <is>
          <t>{{1B_prov}}</t>
        </is>
      </c>
      <c r="I6" s="52" t="n"/>
      <c r="J6" s="61">
        <f>IFERROR(G6,"")</f>
        <v/>
      </c>
      <c r="K6" s="46" t="inlineStr">
        <is>
          <t>{{1B_reasoning}}</t>
        </is>
      </c>
    </row>
    <row r="7" ht="25.5" customHeight="1" s="22">
      <c r="A7" s="51" t="n">
        <v>1</v>
      </c>
      <c r="B7" s="51" t="inlineStr">
        <is>
          <t>1C</t>
        </is>
      </c>
      <c r="C7" s="59" t="inlineStr">
        <is>
          <t>Constraint and Assumption Extraction</t>
        </is>
      </c>
      <c r="D7" s="60" t="n">
        <v>5</v>
      </c>
      <c r="E7" s="52" t="inlineStr">
        <is>
          <t>{{1C_cc}}</t>
        </is>
      </c>
      <c r="F7" s="52" t="inlineStr">
        <is>
          <t>{{1C_gm}}</t>
        </is>
      </c>
      <c r="G7" s="52" t="inlineStr">
        <is>
          <t>{{1C_con}}</t>
        </is>
      </c>
      <c r="H7" s="52" t="inlineStr">
        <is>
          <t>{{1C_prov}}</t>
        </is>
      </c>
      <c r="I7" s="52" t="n"/>
      <c r="J7" s="61">
        <f>IFERROR(G7,"")</f>
        <v/>
      </c>
      <c r="K7" s="46" t="inlineStr">
        <is>
          <t>{{1C_reasoning}}</t>
        </is>
      </c>
    </row>
    <row r="8" ht="25.5" customHeight="1" s="22">
      <c r="A8" s="51" t="n">
        <v>2</v>
      </c>
      <c r="B8" s="51" t="inlineStr">
        <is>
          <t>2A</t>
        </is>
      </c>
      <c r="C8" s="59" t="inlineStr">
        <is>
          <t>Functional Requirement Traceability</t>
        </is>
      </c>
      <c r="D8" s="60" t="n">
        <v>5</v>
      </c>
      <c r="E8" s="52" t="inlineStr">
        <is>
          <t>{{2A_cc}}</t>
        </is>
      </c>
      <c r="F8" s="52" t="inlineStr">
        <is>
          <t>{{2A_gm}}</t>
        </is>
      </c>
      <c r="G8" s="52" t="inlineStr">
        <is>
          <t>{{2A_con}}</t>
        </is>
      </c>
      <c r="H8" s="52" t="inlineStr">
        <is>
          <t>{{2A_prov}}</t>
        </is>
      </c>
      <c r="I8" s="52" t="n"/>
      <c r="J8" s="61">
        <f>IFERROR(G8,"")</f>
        <v/>
      </c>
      <c r="K8" s="46" t="inlineStr">
        <is>
          <t>{{2A_reasoning}}</t>
        </is>
      </c>
    </row>
    <row r="9" ht="25.5" customHeight="1" s="22">
      <c r="A9" s="51" t="n">
        <v>2</v>
      </c>
      <c r="B9" s="51" t="inlineStr">
        <is>
          <t>2B</t>
        </is>
      </c>
      <c r="C9" s="59" t="inlineStr">
        <is>
          <t>Non-Functional Requirement Coverage</t>
        </is>
      </c>
      <c r="D9" s="60" t="n">
        <v>5</v>
      </c>
      <c r="E9" s="52" t="inlineStr">
        <is>
          <t>{{2B_cc}}</t>
        </is>
      </c>
      <c r="F9" s="52" t="inlineStr">
        <is>
          <t>{{2B_gm}}</t>
        </is>
      </c>
      <c r="G9" s="52" t="inlineStr">
        <is>
          <t>{{2B_con}}</t>
        </is>
      </c>
      <c r="H9" s="52" t="inlineStr">
        <is>
          <t>{{2B_prov}}</t>
        </is>
      </c>
      <c r="I9" s="52" t="n"/>
      <c r="J9" s="61">
        <f>IFERROR(G9,"")</f>
        <v/>
      </c>
      <c r="K9" s="46" t="inlineStr">
        <is>
          <t>{{2B_reasoning}}</t>
        </is>
      </c>
    </row>
    <row r="10" ht="25.5" customHeight="1" s="22">
      <c r="A10" s="51" t="n">
        <v>2</v>
      </c>
      <c r="B10" s="51" t="inlineStr">
        <is>
          <t>2C</t>
        </is>
      </c>
      <c r="C10" s="59" t="inlineStr">
        <is>
          <t>Gap and Risk Identification</t>
        </is>
      </c>
      <c r="D10" s="60" t="n">
        <v>5</v>
      </c>
      <c r="E10" s="52" t="inlineStr">
        <is>
          <t>{{2C_cc}}</t>
        </is>
      </c>
      <c r="F10" s="52" t="inlineStr">
        <is>
          <t>{{2C_gm}}</t>
        </is>
      </c>
      <c r="G10" s="52" t="inlineStr">
        <is>
          <t>{{2C_con}}</t>
        </is>
      </c>
      <c r="H10" s="52" t="inlineStr">
        <is>
          <t>{{2C_prov}}</t>
        </is>
      </c>
      <c r="I10" s="52" t="n"/>
      <c r="J10" s="61">
        <f>IFERROR(G10,"")</f>
        <v/>
      </c>
      <c r="K10" s="46" t="inlineStr">
        <is>
          <t>{{2C_reasoning}}</t>
        </is>
      </c>
    </row>
    <row r="11" ht="25.5" customHeight="1" s="22">
      <c r="A11" s="51" t="n">
        <v>3</v>
      </c>
      <c r="B11" s="51" t="inlineStr">
        <is>
          <t>3A</t>
        </is>
      </c>
      <c r="C11" s="59" t="inlineStr">
        <is>
          <t>Cloud and Module Selection</t>
        </is>
      </c>
      <c r="D11" s="61">
        <f>IF(OR(Cover!B19=TRUE(),UPPER(TRIM(Cover!B19&amp;""))="TRUE"),4,5)</f>
        <v/>
      </c>
      <c r="E11" s="52" t="inlineStr">
        <is>
          <t>{{3A_cc}}</t>
        </is>
      </c>
      <c r="F11" s="52" t="inlineStr">
        <is>
          <t>{{3A_gm}}</t>
        </is>
      </c>
      <c r="G11" s="52" t="inlineStr">
        <is>
          <t>{{3A_con}}</t>
        </is>
      </c>
      <c r="H11" s="52" t="inlineStr">
        <is>
          <t>{{3A_prov}}</t>
        </is>
      </c>
      <c r="I11" s="52" t="n"/>
      <c r="J11" s="61">
        <f>IFERROR(G11,"")</f>
        <v/>
      </c>
      <c r="K11" s="46" t="inlineStr">
        <is>
          <t>{{3A_reasoning}}</t>
        </is>
      </c>
    </row>
    <row r="12" ht="25.5" customHeight="1" s="22">
      <c r="A12" s="51" t="n">
        <v>3</v>
      </c>
      <c r="B12" s="51" t="inlineStr">
        <is>
          <t>3B</t>
        </is>
      </c>
      <c r="C12" s="59" t="inlineStr">
        <is>
          <t>Trusted Design</t>
        </is>
      </c>
      <c r="D12" s="61">
        <f>IF(OR(Cover!B19=TRUE(),UPPER(TRIM(Cover!B19&amp;""))="TRUE"),4,5)</f>
        <v/>
      </c>
      <c r="E12" s="52" t="inlineStr">
        <is>
          <t>{{3B_cc}}</t>
        </is>
      </c>
      <c r="F12" s="52" t="inlineStr">
        <is>
          <t>{{3B_gm}}</t>
        </is>
      </c>
      <c r="G12" s="52" t="inlineStr">
        <is>
          <t>{{3B_con}}</t>
        </is>
      </c>
      <c r="H12" s="52" t="inlineStr">
        <is>
          <t>{{3B_prov}}</t>
        </is>
      </c>
      <c r="I12" s="52" t="n"/>
      <c r="J12" s="61">
        <f>IFERROR(G12,"")</f>
        <v/>
      </c>
      <c r="K12" s="46" t="inlineStr">
        <is>
          <t>{{3B_reasoning}}</t>
        </is>
      </c>
    </row>
    <row r="13" ht="25.5" customHeight="1" s="22">
      <c r="A13" s="51" t="n">
        <v>3</v>
      </c>
      <c r="B13" s="51" t="inlineStr">
        <is>
          <t>3C</t>
        </is>
      </c>
      <c r="C13" s="59" t="inlineStr">
        <is>
          <t>Easy Design</t>
        </is>
      </c>
      <c r="D13" s="61">
        <f>IF(OR(Cover!B19=TRUE(),UPPER(TRIM(Cover!B19&amp;""))="TRUE"),4,5)</f>
        <v/>
      </c>
      <c r="E13" s="52" t="inlineStr">
        <is>
          <t>{{3C_cc}}</t>
        </is>
      </c>
      <c r="F13" s="52" t="inlineStr">
        <is>
          <t>{{3C_gm}}</t>
        </is>
      </c>
      <c r="G13" s="52" t="inlineStr">
        <is>
          <t>{{3C_con}}</t>
        </is>
      </c>
      <c r="H13" s="52" t="inlineStr">
        <is>
          <t>{{3C_prov}}</t>
        </is>
      </c>
      <c r="I13" s="52" t="n"/>
      <c r="J13" s="61">
        <f>IFERROR(G13,"")</f>
        <v/>
      </c>
      <c r="K13" s="46" t="inlineStr">
        <is>
          <t>{{3C_reasoning}}</t>
        </is>
      </c>
    </row>
    <row r="14" ht="25.5" customHeight="1" s="22">
      <c r="A14" s="51" t="n">
        <v>3</v>
      </c>
      <c r="B14" s="51" t="inlineStr">
        <is>
          <t>3D</t>
        </is>
      </c>
      <c r="C14" s="59" t="inlineStr">
        <is>
          <t>Adaptable Design</t>
        </is>
      </c>
      <c r="D14" s="61">
        <f>IF(OR(Cover!B19=TRUE(),UPPER(TRIM(Cover!B19&amp;""))="TRUE"),4,5)</f>
        <v/>
      </c>
      <c r="E14" s="52" t="inlineStr">
        <is>
          <t>{{3D_cc}}</t>
        </is>
      </c>
      <c r="F14" s="52" t="inlineStr">
        <is>
          <t>{{3D_gm}}</t>
        </is>
      </c>
      <c r="G14" s="52" t="inlineStr">
        <is>
          <t>{{3D_con}}</t>
        </is>
      </c>
      <c r="H14" s="52" t="inlineStr">
        <is>
          <t>{{3D_prov}}</t>
        </is>
      </c>
      <c r="I14" s="52" t="n"/>
      <c r="J14" s="61">
        <f>IFERROR(G14,"")</f>
        <v/>
      </c>
      <c r="K14" s="46" t="inlineStr">
        <is>
          <t>{{3D_reasoning}}</t>
        </is>
      </c>
    </row>
    <row r="15" ht="25.5" customHeight="1" s="22">
      <c r="A15" s="51" t="n">
        <v>3</v>
      </c>
      <c r="B15" s="51" t="inlineStr">
        <is>
          <t>3E</t>
        </is>
      </c>
      <c r="C15" s="59" t="inlineStr">
        <is>
          <t>Multi-Cloud Architecture</t>
        </is>
      </c>
      <c r="D15" s="61">
        <f>IF(OR(Cover!B19=TRUE(),UPPER(TRIM(Cover!B19&amp;""))="TRUE"),4,"N/A")</f>
        <v/>
      </c>
      <c r="E15" s="52" t="inlineStr">
        <is>
          <t>{{3E_cc}}</t>
        </is>
      </c>
      <c r="F15" s="52" t="inlineStr">
        <is>
          <t>{{3E_gm}}</t>
        </is>
      </c>
      <c r="G15" s="52" t="inlineStr">
        <is>
          <t>{{3E_con}}</t>
        </is>
      </c>
      <c r="H15" s="52" t="inlineStr">
        <is>
          <t>{{3E_prov}}</t>
        </is>
      </c>
      <c r="I15" s="52" t="n"/>
      <c r="J15" s="61">
        <f>IFERROR(G15,"")</f>
        <v/>
      </c>
      <c r="K15" s="46" t="inlineStr">
        <is>
          <t>{{3E_reasoning}}</t>
        </is>
      </c>
    </row>
    <row r="16" ht="25.5" customHeight="1" s="22">
      <c r="A16" s="51" t="n">
        <v>4</v>
      </c>
      <c r="B16" s="51" t="inlineStr">
        <is>
          <t>4A</t>
        </is>
      </c>
      <c r="C16" s="59" t="inlineStr">
        <is>
          <t>Component Presence (CP)</t>
        </is>
      </c>
      <c r="D16" s="60" t="n">
        <v>9</v>
      </c>
      <c r="E16" s="52" t="inlineStr">
        <is>
          <t>{{4A_cc}}</t>
        </is>
      </c>
      <c r="F16" s="52" t="inlineStr">
        <is>
          <t>{{4A_gm}}</t>
        </is>
      </c>
      <c r="G16" s="52" t="inlineStr">
        <is>
          <t>{{4A_con}}</t>
        </is>
      </c>
      <c r="H16" s="52" t="inlineStr">
        <is>
          <t>{{4A_prov}}</t>
        </is>
      </c>
      <c r="I16" s="52" t="n"/>
      <c r="J16" s="61">
        <f>IFERROR(G16,"")</f>
        <v/>
      </c>
      <c r="K16" s="46" t="inlineStr">
        <is>
          <t>{{4A_reasoning}}</t>
        </is>
      </c>
    </row>
    <row r="17" ht="25.5" customHeight="1" s="22">
      <c r="A17" s="51" t="n">
        <v>4</v>
      </c>
      <c r="B17" s="51" t="inlineStr">
        <is>
          <t>4B</t>
        </is>
      </c>
      <c r="C17" s="59" t="inlineStr">
        <is>
          <t>Architectural Decision Quality (ADQ)</t>
        </is>
      </c>
      <c r="D17" s="60" t="n">
        <v>6</v>
      </c>
      <c r="E17" s="52" t="inlineStr">
        <is>
          <t>{{4B_cc}}</t>
        </is>
      </c>
      <c r="F17" s="52" t="inlineStr">
        <is>
          <t>{{4B_gm}}</t>
        </is>
      </c>
      <c r="G17" s="52" t="inlineStr">
        <is>
          <t>{{4B_con}}</t>
        </is>
      </c>
      <c r="H17" s="52" t="inlineStr">
        <is>
          <t>{{4B_prov}}</t>
        </is>
      </c>
      <c r="I17" s="52" t="n"/>
      <c r="J17" s="61">
        <f>IFERROR(G17,"")</f>
        <v/>
      </c>
      <c r="K17" s="46" t="inlineStr">
        <is>
          <t>{{4B_reasoning}}</t>
        </is>
      </c>
    </row>
    <row r="18" ht="25.5" customHeight="1" s="22">
      <c r="A18" s="51" t="n">
        <v>5</v>
      </c>
      <c r="B18" s="51" t="inlineStr">
        <is>
          <t>5A</t>
        </is>
      </c>
      <c r="C18" s="59" t="inlineStr">
        <is>
          <t>Dependency Identification and Classification</t>
        </is>
      </c>
      <c r="D18" s="61">
        <f>IF(OR(Cover!B18=TRUE(),UPPER(TRIM(Cover!B18&amp;""))="TRUE"),6,4)</f>
        <v/>
      </c>
      <c r="E18" s="52" t="inlineStr">
        <is>
          <t>{{5A_cc}}</t>
        </is>
      </c>
      <c r="F18" s="52" t="inlineStr">
        <is>
          <t>{{5A_gm}}</t>
        </is>
      </c>
      <c r="G18" s="52" t="inlineStr">
        <is>
          <t>{{5A_con}}</t>
        </is>
      </c>
      <c r="H18" s="52" t="inlineStr">
        <is>
          <t>{{5A_prov}}</t>
        </is>
      </c>
      <c r="I18" s="52" t="n"/>
      <c r="J18" s="61">
        <f>IFERROR(G18,"")</f>
        <v/>
      </c>
      <c r="K18" s="46" t="inlineStr">
        <is>
          <t>{{5A_reasoning}}</t>
        </is>
      </c>
    </row>
    <row r="19" ht="25.5" customHeight="1" s="22">
      <c r="A19" s="51" t="n">
        <v>5</v>
      </c>
      <c r="B19" s="51" t="inlineStr">
        <is>
          <t>5B</t>
        </is>
      </c>
      <c r="C19" s="59" t="inlineStr">
        <is>
          <t>Assumption Documentation and Risk Assessment</t>
        </is>
      </c>
      <c r="D19" s="61">
        <f>IF(OR(Cover!B18=TRUE(),UPPER(TRIM(Cover!B18&amp;""))="TRUE"),4,3)</f>
        <v/>
      </c>
      <c r="E19" s="52" t="inlineStr">
        <is>
          <t>{{5B_cc}}</t>
        </is>
      </c>
      <c r="F19" s="52" t="inlineStr">
        <is>
          <t>{{5B_gm}}</t>
        </is>
      </c>
      <c r="G19" s="52" t="inlineStr">
        <is>
          <t>{{5B_con}}</t>
        </is>
      </c>
      <c r="H19" s="52" t="inlineStr">
        <is>
          <t>{{5B_prov}}</t>
        </is>
      </c>
      <c r="I19" s="52" t="n"/>
      <c r="J19" s="61">
        <f>IFERROR(G19,"")</f>
        <v/>
      </c>
      <c r="K19" s="46" t="inlineStr">
        <is>
          <t>{{5B_reasoning}}</t>
        </is>
      </c>
    </row>
    <row r="20" ht="25.5" customHeight="1" s="22">
      <c r="A20" s="51" t="n">
        <v>5</v>
      </c>
      <c r="B20" s="51" t="inlineStr">
        <is>
          <t>5C</t>
        </is>
      </c>
      <c r="C20" s="59" t="inlineStr">
        <is>
          <t>Integration Failure Modes</t>
        </is>
      </c>
      <c r="D20" s="61">
        <f>IF(OR(Cover!B18=TRUE(),UPPER(TRIM(Cover!B18&amp;""))="TRUE"),5,3)</f>
        <v/>
      </c>
      <c r="E20" s="52" t="inlineStr">
        <is>
          <t>{{5C_cc}}</t>
        </is>
      </c>
      <c r="F20" s="52" t="inlineStr">
        <is>
          <t>{{5C_gm}}</t>
        </is>
      </c>
      <c r="G20" s="52" t="inlineStr">
        <is>
          <t>{{5C_con}}</t>
        </is>
      </c>
      <c r="H20" s="52" t="inlineStr">
        <is>
          <t>{{5C_prov}}</t>
        </is>
      </c>
      <c r="I20" s="52" t="n"/>
      <c r="J20" s="61">
        <f>IFERROR(G20,"")</f>
        <v/>
      </c>
      <c r="K20" s="46" t="inlineStr">
        <is>
          <t>{{5C_reasoning}}</t>
        </is>
      </c>
    </row>
    <row r="21" ht="25.5" customHeight="1" s="22">
      <c r="A21" s="51" t="n">
        <v>6</v>
      </c>
      <c r="B21" s="51" t="inlineStr">
        <is>
          <t>6A</t>
        </is>
      </c>
      <c r="C21" s="59" t="inlineStr">
        <is>
          <t>In-Scope / Out-of-Scope Delineation</t>
        </is>
      </c>
      <c r="D21" s="60" t="n">
        <v>4</v>
      </c>
      <c r="E21" s="52" t="inlineStr">
        <is>
          <t>{{6A_cc}}</t>
        </is>
      </c>
      <c r="F21" s="52" t="inlineStr">
        <is>
          <t>{{6A_gm}}</t>
        </is>
      </c>
      <c r="G21" s="52" t="inlineStr">
        <is>
          <t>{{6A_con}}</t>
        </is>
      </c>
      <c r="H21" s="52" t="inlineStr">
        <is>
          <t>{{6A_prov}}</t>
        </is>
      </c>
      <c r="I21" s="52" t="n"/>
      <c r="J21" s="61">
        <f>IFERROR(G21,"")</f>
        <v/>
      </c>
      <c r="K21" s="46" t="inlineStr">
        <is>
          <t>{{6A_reasoning}}</t>
        </is>
      </c>
    </row>
    <row r="22" ht="25.5" customHeight="1" s="22">
      <c r="A22" s="51" t="n">
        <v>6</v>
      </c>
      <c r="B22" s="51" t="inlineStr">
        <is>
          <t>6B</t>
        </is>
      </c>
      <c r="C22" s="59" t="inlineStr">
        <is>
          <t>Phasing and Prioritisation</t>
        </is>
      </c>
      <c r="D22" s="60" t="n">
        <v>3</v>
      </c>
      <c r="E22" s="52" t="inlineStr">
        <is>
          <t>{{6B_cc}}</t>
        </is>
      </c>
      <c r="F22" s="52" t="inlineStr">
        <is>
          <t>{{6B_gm}}</t>
        </is>
      </c>
      <c r="G22" s="52" t="inlineStr">
        <is>
          <t>{{6B_con}}</t>
        </is>
      </c>
      <c r="H22" s="52" t="inlineStr">
        <is>
          <t>{{6B_prov}}</t>
        </is>
      </c>
      <c r="I22" s="52" t="n"/>
      <c r="J22" s="61">
        <f>IFERROR(G22,"")</f>
        <v/>
      </c>
      <c r="K22" s="46" t="inlineStr">
        <is>
          <t>{{6B_reasoning}}</t>
        </is>
      </c>
    </row>
    <row r="23" ht="25.5" customHeight="1" s="22">
      <c r="A23" s="51" t="n">
        <v>6</v>
      </c>
      <c r="B23" s="51" t="inlineStr">
        <is>
          <t>6C</t>
        </is>
      </c>
      <c r="C23" s="59" t="inlineStr">
        <is>
          <t>Scope Creep Resistance</t>
        </is>
      </c>
      <c r="D23" s="60" t="n">
        <v>3</v>
      </c>
      <c r="E23" s="52" t="inlineStr">
        <is>
          <t>{{6C_cc}}</t>
        </is>
      </c>
      <c r="F23" s="52" t="inlineStr">
        <is>
          <t>{{6C_gm}}</t>
        </is>
      </c>
      <c r="G23" s="52" t="inlineStr">
        <is>
          <t>{{6C_con}}</t>
        </is>
      </c>
      <c r="H23" s="52" t="inlineStr">
        <is>
          <t>{{6C_prov}}</t>
        </is>
      </c>
      <c r="I23" s="52" t="n"/>
      <c r="J23" s="61">
        <f>IFERROR(G23,"")</f>
        <v/>
      </c>
      <c r="K23" s="46" t="inlineStr">
        <is>
          <t>{{6C_reasoning}}</t>
        </is>
      </c>
    </row>
    <row r="24" ht="25.5" customHeight="1" s="22">
      <c r="A24" s="51" t="n">
        <v>7</v>
      </c>
      <c r="B24" s="51" t="inlineStr">
        <is>
          <t>7A</t>
        </is>
      </c>
      <c r="C24" s="59" t="inlineStr">
        <is>
          <t>Estimable Work Units</t>
        </is>
      </c>
      <c r="D24" s="61">
        <f>IF(OR(Cover!B18=TRUE(),UPPER(TRIM(Cover!B18&amp;""))="TRUE"),3,5)</f>
        <v/>
      </c>
      <c r="E24" s="52" t="inlineStr">
        <is>
          <t>{{7A_cc}}</t>
        </is>
      </c>
      <c r="F24" s="52" t="inlineStr">
        <is>
          <t>{{7A_gm}}</t>
        </is>
      </c>
      <c r="G24" s="52" t="inlineStr">
        <is>
          <t>{{7A_con}}</t>
        </is>
      </c>
      <c r="H24" s="52" t="inlineStr">
        <is>
          <t>{{7A_prov}}</t>
        </is>
      </c>
      <c r="I24" s="52" t="n"/>
      <c r="J24" s="61">
        <f>IFERROR(G24,"")</f>
        <v/>
      </c>
      <c r="K24" s="46" t="inlineStr">
        <is>
          <t>{{7A_reasoning}}</t>
        </is>
      </c>
    </row>
    <row r="25" ht="25.5" customHeight="1" s="22">
      <c r="A25" s="51" t="n">
        <v>7</v>
      </c>
      <c r="B25" s="51" t="inlineStr">
        <is>
          <t>7B</t>
        </is>
      </c>
      <c r="C25" s="59" t="inlineStr">
        <is>
          <t>Complexity and Effort Indicators</t>
        </is>
      </c>
      <c r="D25" s="61">
        <f>IF(OR(Cover!B18=TRUE(),UPPER(TRIM(Cover!B18&amp;""))="TRUE"),4,5)</f>
        <v/>
      </c>
      <c r="E25" s="52" t="inlineStr">
        <is>
          <t>{{7B_cc}}</t>
        </is>
      </c>
      <c r="F25" s="52" t="inlineStr">
        <is>
          <t>{{7B_gm}}</t>
        </is>
      </c>
      <c r="G25" s="52" t="inlineStr">
        <is>
          <t>{{7B_con}}</t>
        </is>
      </c>
      <c r="H25" s="52" t="inlineStr">
        <is>
          <t>{{7B_prov}}</t>
        </is>
      </c>
      <c r="I25" s="52" t="n"/>
      <c r="J25" s="61">
        <f>IFERROR(G25,"")</f>
        <v/>
      </c>
      <c r="K25" s="46" t="inlineStr">
        <is>
          <t>{{7B_reasoning}}</t>
        </is>
      </c>
    </row>
    <row r="26" ht="25.5" customHeight="1" s="22">
      <c r="A26" s="51" t="n">
        <v>7</v>
      </c>
      <c r="B26" s="51" t="inlineStr">
        <is>
          <t>7C</t>
        </is>
      </c>
      <c r="C26" s="59" t="inlineStr">
        <is>
          <t>Delivery Readiness Signals</t>
        </is>
      </c>
      <c r="D26" s="61">
        <f>IF(OR(Cover!B18=TRUE(),UPPER(TRIM(Cover!B18&amp;""))="TRUE"),3,5)</f>
        <v/>
      </c>
      <c r="E26" s="52" t="inlineStr">
        <is>
          <t>{{7C_cc}}</t>
        </is>
      </c>
      <c r="F26" s="52" t="inlineStr">
        <is>
          <t>{{7C_gm}}</t>
        </is>
      </c>
      <c r="G26" s="52" t="inlineStr">
        <is>
          <t>{{7C_con}}</t>
        </is>
      </c>
      <c r="H26" s="52" t="inlineStr">
        <is>
          <t>{{7C_prov}}</t>
        </is>
      </c>
      <c r="I26" s="52" t="n"/>
      <c r="J26" s="61">
        <f>IFERROR(G26,"")</f>
        <v/>
      </c>
      <c r="K26" s="46" t="inlineStr">
        <is>
          <t>{{7C_reasoning}}</t>
        </is>
      </c>
    </row>
  </sheetData>
  <mergeCells count="2">
    <mergeCell ref="A2:K2"/>
    <mergeCell ref="A1:K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2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21" min="1" max="1"/>
    <col width="10" customWidth="1" style="21" min="2" max="3"/>
    <col width="40" customWidth="1" style="21" min="4" max="4"/>
    <col width="32" customWidth="1" style="21" min="5" max="5"/>
    <col width="10" customWidth="1" style="21" min="6" max="6"/>
  </cols>
  <sheetData>
    <row r="1" ht="15.75" customHeight="1" s="22">
      <c r="A1" s="57" t="inlineStr">
        <is>
          <t>Deductions — TRUST (rubric §7.1) + RR (rubric §7.2)</t>
        </is>
      </c>
    </row>
    <row r="2" ht="49.5" customHeight="1" s="22">
      <c r="A2" s="47" t="inlineStr">
        <is>
          <t>Applied to Dim 3 ONLY after sub-criterion scoring. TRUST deductions: 9 named entries TRUST-001..009, no cumulative cap. Release-awareness (RR-N) deductions: −1 (named but currency unverified, live path ran) or −3 (Salesforce-confirmed not-in-force); cumulative cap −9 (rubric §7.2); the populator writes each finding's actual value. Dim 3 floors at zero. Each deduction MUST cite the triggering SDD passage and the Salesforce source (URL or Release Notes citation) — R10 enforces format.</t>
        </is>
      </c>
    </row>
    <row r="4" ht="27.75" customHeight="1" s="22">
      <c r="A4" s="49" t="inlineStr">
        <is>
          <t>Deduction ID</t>
        </is>
      </c>
      <c r="B4" s="49" t="inlineStr">
        <is>
          <t>Type</t>
        </is>
      </c>
      <c r="C4" s="49" t="inlineStr">
        <is>
          <t>Value</t>
        </is>
      </c>
      <c r="D4" s="49" t="inlineStr">
        <is>
          <t>Triggering passage (SDD excerpt)</t>
        </is>
      </c>
      <c r="E4" s="49" t="inlineStr">
        <is>
          <t>Salesforce source (URL / Release Notes)</t>
        </is>
      </c>
      <c r="F4" s="49" t="inlineStr">
        <is>
          <t>Dimension</t>
        </is>
      </c>
      <c r="G4" s="65" t="inlineStr">
        <is>
          <t>Severity tier</t>
        </is>
      </c>
    </row>
    <row r="5" ht="15" customHeight="1" s="22">
      <c r="A5" s="54" t="inlineStr">
        <is>
          <t>Trust deduction catalogue (rubric §7.1) — script enters triggering passage in column D only when triggered</t>
        </is>
      </c>
    </row>
    <row r="6" ht="30" customHeight="1" s="22">
      <c r="A6" s="51" t="inlineStr">
        <is>
          <t>TRUST-001</t>
        </is>
      </c>
      <c r="B6" s="60" t="inlineStr">
        <is>
          <t>TRUST</t>
        </is>
      </c>
      <c r="C6" s="60" t="n">
        <v>-3</v>
      </c>
      <c r="D6" s="46" t="inlineStr">
        <is>
          <t>{{trust_001_passage}}</t>
        </is>
      </c>
      <c r="E6" s="55" t="inlineStr">
        <is>
          <t>architect.salesforce.com/well-architected/easy/automated</t>
        </is>
      </c>
      <c r="F6" s="60" t="n">
        <v>3</v>
      </c>
      <c r="G6" s="44" t="inlineStr">
        <is>
          <t>Major</t>
        </is>
      </c>
    </row>
    <row r="7" ht="30" customHeight="1" s="22">
      <c r="A7" s="51" t="inlineStr">
        <is>
          <t>TRUST-002</t>
        </is>
      </c>
      <c r="B7" s="60" t="inlineStr">
        <is>
          <t>TRUST</t>
        </is>
      </c>
      <c r="C7" s="60" t="n">
        <v>-5</v>
      </c>
      <c r="D7" s="46" t="inlineStr">
        <is>
          <t>{{trust_002_passage}}</t>
        </is>
      </c>
      <c r="E7" s="55" t="inlineStr">
        <is>
          <t>architect.salesforce.com/well-architected/trusted/secure</t>
        </is>
      </c>
      <c r="F7" s="60" t="n">
        <v>3</v>
      </c>
      <c r="G7" s="44" t="inlineStr">
        <is>
          <t>Critical</t>
        </is>
      </c>
    </row>
    <row r="8" ht="30" customHeight="1" s="22">
      <c r="A8" s="51" t="inlineStr">
        <is>
          <t>TRUST-003</t>
        </is>
      </c>
      <c r="B8" s="60" t="inlineStr">
        <is>
          <t>TRUST</t>
        </is>
      </c>
      <c r="C8" s="60" t="n">
        <v>-1</v>
      </c>
      <c r="D8" s="46" t="inlineStr">
        <is>
          <t>{{trust_003_passage}}</t>
        </is>
      </c>
      <c r="E8" s="55" t="inlineStr">
        <is>
          <t>Salesforce Lightning migration guidance</t>
        </is>
      </c>
      <c r="F8" s="60" t="n">
        <v>3</v>
      </c>
      <c r="G8" s="44" t="inlineStr">
        <is>
          <t>Minor</t>
        </is>
      </c>
    </row>
    <row r="9" ht="30" customHeight="1" s="22">
      <c r="A9" s="51" t="inlineStr">
        <is>
          <t>TRUST-004</t>
        </is>
      </c>
      <c r="B9" s="60" t="inlineStr">
        <is>
          <t>TRUST</t>
        </is>
      </c>
      <c r="C9" s="60" t="n">
        <v>-1</v>
      </c>
      <c r="D9" s="46" t="inlineStr">
        <is>
          <t>{{trust_004_passage}}</t>
        </is>
      </c>
      <c r="E9" s="55" t="inlineStr">
        <is>
          <t>architect.salesforce.com/well-architected/trusted/secure</t>
        </is>
      </c>
      <c r="F9" s="60" t="n">
        <v>3</v>
      </c>
      <c r="G9" s="44" t="inlineStr">
        <is>
          <t>Minor</t>
        </is>
      </c>
    </row>
    <row r="10" ht="30" customHeight="1" s="22">
      <c r="A10" s="51" t="inlineStr">
        <is>
          <t>TRUST-005</t>
        </is>
      </c>
      <c r="B10" s="60" t="inlineStr">
        <is>
          <t>TRUST</t>
        </is>
      </c>
      <c r="C10" s="60" t="n">
        <v>-3</v>
      </c>
      <c r="D10" s="46" t="inlineStr">
        <is>
          <t>{{trust_005_passage}}</t>
        </is>
      </c>
      <c r="E10" s="55" t="inlineStr">
        <is>
          <t>Spring '26 Release Notes — session ID retirement</t>
        </is>
      </c>
      <c r="F10" s="60" t="n">
        <v>3</v>
      </c>
      <c r="G10" s="44" t="inlineStr">
        <is>
          <t>Major</t>
        </is>
      </c>
    </row>
    <row r="11" ht="30" customHeight="1" s="22">
      <c r="A11" s="51" t="inlineStr">
        <is>
          <t>TRUST-006</t>
        </is>
      </c>
      <c r="B11" s="60" t="inlineStr">
        <is>
          <t>TRUST</t>
        </is>
      </c>
      <c r="C11" s="60" t="n">
        <v>-1</v>
      </c>
      <c r="D11" s="46" t="inlineStr">
        <is>
          <t>{{trust_006_passage}}</t>
        </is>
      </c>
      <c r="E11" s="55" t="inlineStr">
        <is>
          <t>Spring '26 Release Notes — External Client Apps</t>
        </is>
      </c>
      <c r="F11" s="60" t="n">
        <v>3</v>
      </c>
      <c r="G11" s="44" t="inlineStr">
        <is>
          <t>Minor</t>
        </is>
      </c>
    </row>
    <row r="12" ht="30" customHeight="1" s="22">
      <c r="A12" s="51" t="inlineStr">
        <is>
          <t>TRUST-007</t>
        </is>
      </c>
      <c r="B12" s="60" t="inlineStr">
        <is>
          <t>TRUST</t>
        </is>
      </c>
      <c r="C12" s="60" t="n">
        <v>-3</v>
      </c>
      <c r="D12" s="46" t="inlineStr">
        <is>
          <t>{{trust_007_passage}}</t>
        </is>
      </c>
      <c r="E12" s="55" t="inlineStr">
        <is>
          <t>architect.salesforce.com/well-architected/trusted/reliable</t>
        </is>
      </c>
      <c r="F12" s="60" t="n">
        <v>3</v>
      </c>
      <c r="G12" s="44" t="inlineStr">
        <is>
          <t>Major</t>
        </is>
      </c>
    </row>
    <row r="13" ht="30" customHeight="1" s="22">
      <c r="A13" s="51" t="inlineStr">
        <is>
          <t>TRUST-008</t>
        </is>
      </c>
      <c r="B13" s="60" t="inlineStr">
        <is>
          <t>TRUST</t>
        </is>
      </c>
      <c r="C13" s="60" t="n">
        <v>-5</v>
      </c>
      <c r="D13" s="46" t="inlineStr">
        <is>
          <t>{{trust_008_passage}}</t>
        </is>
      </c>
      <c r="E13" s="55" t="inlineStr">
        <is>
          <t>developer.salesforce.com — Apex Governor Limits</t>
        </is>
      </c>
      <c r="F13" s="60" t="n">
        <v>3</v>
      </c>
      <c r="G13" s="44" t="inlineStr">
        <is>
          <t>Critical</t>
        </is>
      </c>
    </row>
    <row r="14" ht="30" customHeight="1" s="22">
      <c r="A14" s="51" t="inlineStr">
        <is>
          <t>TRUST-009</t>
        </is>
      </c>
      <c r="B14" s="60" t="inlineStr">
        <is>
          <t>TRUST</t>
        </is>
      </c>
      <c r="C14" s="60" t="n">
        <v>-5</v>
      </c>
      <c r="D14" s="46" t="inlineStr">
        <is>
          <t>{{trust_009_passage}}</t>
        </is>
      </c>
      <c r="E14" s="55" t="inlineStr">
        <is>
          <t>architect.salesforce.com/well-architected/trusted/secure</t>
        </is>
      </c>
      <c r="F14" s="60" t="n">
        <v>3</v>
      </c>
      <c r="G14" s="44" t="inlineStr">
        <is>
          <t>Critical</t>
        </is>
      </c>
    </row>
    <row r="16" ht="15" customHeight="1" s="22">
      <c r="A16" s="54" t="inlineStr">
        <is>
          <t>Release-Awareness (RR-N) deductions (rubric §7.2) — script appends one row per triggered RR; cumulative cap −9</t>
        </is>
      </c>
    </row>
    <row r="17" ht="21.75" customHeight="1" s="22">
      <c r="A17" s="51" t="inlineStr">
        <is>
          <t>RR-001</t>
        </is>
      </c>
      <c r="B17" s="60" t="inlineStr">
        <is>
          <t>RR</t>
        </is>
      </c>
      <c r="C17" s="60" t="n">
        <v>-3</v>
      </c>
      <c r="D17" s="46" t="inlineStr">
        <is>
          <t>{{rr_001_passage}}</t>
        </is>
      </c>
      <c r="E17" s="46" t="inlineStr">
        <is>
          <t>{{rr_001_source}}</t>
        </is>
      </c>
      <c r="F17" s="60" t="n">
        <v>3</v>
      </c>
    </row>
    <row r="18" ht="21.75" customHeight="1" s="22">
      <c r="A18" s="51" t="inlineStr">
        <is>
          <t>RR-002</t>
        </is>
      </c>
      <c r="B18" s="60" t="inlineStr">
        <is>
          <t>RR</t>
        </is>
      </c>
      <c r="C18" s="60" t="n">
        <v>-3</v>
      </c>
      <c r="D18" s="46" t="inlineStr">
        <is>
          <t>{{rr_002_passage}}</t>
        </is>
      </c>
      <c r="E18" s="46" t="inlineStr">
        <is>
          <t>{{rr_002_source}}</t>
        </is>
      </c>
      <c r="F18" s="60" t="n">
        <v>3</v>
      </c>
    </row>
    <row r="19" ht="21.75" customHeight="1" s="22">
      <c r="A19" s="51" t="inlineStr">
        <is>
          <t>RR-003</t>
        </is>
      </c>
      <c r="B19" s="60" t="inlineStr">
        <is>
          <t>RR</t>
        </is>
      </c>
      <c r="C19" s="60" t="n">
        <v>-3</v>
      </c>
      <c r="D19" s="46" t="inlineStr">
        <is>
          <t>{{rr_003_passage}}</t>
        </is>
      </c>
      <c r="E19" s="46" t="inlineStr">
        <is>
          <t>{{rr_003_source}}</t>
        </is>
      </c>
      <c r="F19" s="60" t="n">
        <v>3</v>
      </c>
    </row>
    <row r="20" ht="21.75" customHeight="1" s="22">
      <c r="A20" s="51" t="inlineStr">
        <is>
          <t>RR-004</t>
        </is>
      </c>
      <c r="B20" s="60" t="inlineStr">
        <is>
          <t>RR</t>
        </is>
      </c>
      <c r="C20" s="60" t="n">
        <v>-3</v>
      </c>
      <c r="D20" s="46" t="inlineStr">
        <is>
          <t>{{rr_004_passage}}</t>
        </is>
      </c>
      <c r="E20" s="46" t="inlineStr">
        <is>
          <t>{{rr_004_source}}</t>
        </is>
      </c>
      <c r="F20" s="60" t="n">
        <v>3</v>
      </c>
    </row>
    <row r="21" ht="21.75" customHeight="1" s="22">
      <c r="A21" s="51" t="inlineStr">
        <is>
          <t>RR-005</t>
        </is>
      </c>
      <c r="B21" s="60" t="inlineStr">
        <is>
          <t>RR</t>
        </is>
      </c>
      <c r="C21" s="60" t="n">
        <v>-3</v>
      </c>
      <c r="D21" s="46" t="inlineStr">
        <is>
          <t>{{rr_005_passage}}</t>
        </is>
      </c>
      <c r="E21" s="46" t="inlineStr">
        <is>
          <t>{{rr_005_source}}</t>
        </is>
      </c>
      <c r="F21" s="60" t="n">
        <v>3</v>
      </c>
    </row>
    <row r="22" ht="21.75" customHeight="1" s="22">
      <c r="A22" s="51" t="inlineStr">
        <is>
          <t>RR-006</t>
        </is>
      </c>
      <c r="B22" s="60" t="inlineStr">
        <is>
          <t>RR</t>
        </is>
      </c>
      <c r="C22" s="60" t="n">
        <v>-3</v>
      </c>
      <c r="D22" s="46" t="inlineStr">
        <is>
          <t>{{rr_006_passage}}</t>
        </is>
      </c>
      <c r="E22" s="46" t="inlineStr">
        <is>
          <t>{{rr_006_source}}</t>
        </is>
      </c>
      <c r="F22" s="60" t="n">
        <v>3</v>
      </c>
    </row>
    <row r="24" ht="15" customHeight="1" s="22">
      <c r="A24" s="54" t="inlineStr">
        <is>
          <t>Totals</t>
        </is>
      </c>
    </row>
    <row r="25" ht="15" customHeight="1" s="22">
      <c r="A25" s="64" t="inlineStr">
        <is>
          <t>Trust deductions total (no cap)</t>
        </is>
      </c>
      <c r="C25" s="61">
        <f>SUMPRODUCT((D6:D14&lt;&gt;"")*(C6:C14))</f>
        <v/>
      </c>
    </row>
    <row r="26" ht="15" customHeight="1" s="22">
      <c r="A26" s="64" t="inlineStr">
        <is>
          <t>RR deductions total (raw)</t>
        </is>
      </c>
      <c r="C26" s="61">
        <f>SUMPRODUCT((D17:D22&lt;&gt;"")*(C17:C22))</f>
        <v/>
      </c>
    </row>
    <row r="27" ht="15" customHeight="1" s="22">
      <c r="A27" s="64" t="inlineStr">
        <is>
          <t>RR deductions total (after −9 cap per rubric §7.2)</t>
        </is>
      </c>
      <c r="C27" s="61">
        <f>MAX(C26,-9)</f>
        <v/>
      </c>
    </row>
    <row r="28" ht="15" customHeight="1" s="22">
      <c r="A28" s="64" t="inlineStr">
        <is>
          <t>Dim 3 total deduction applied</t>
        </is>
      </c>
      <c r="C28" s="63">
        <f>C25+C27</f>
        <v/>
      </c>
    </row>
  </sheetData>
  <mergeCells count="5">
    <mergeCell ref="A24:F24"/>
    <mergeCell ref="A2:F2"/>
    <mergeCell ref="A16:F16"/>
    <mergeCell ref="A1:F1"/>
    <mergeCell ref="A5:F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J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21" min="1" max="1"/>
    <col width="28" customWidth="1" style="21" min="2" max="2"/>
    <col width="8" customWidth="1" style="21" min="3" max="8"/>
    <col width="10" customWidth="1" style="21" min="9" max="9"/>
    <col width="14" customWidth="1" style="21" min="10" max="10"/>
  </cols>
  <sheetData>
    <row r="1" ht="15.75" customHeight="1" s="22">
      <c r="A1" s="57" t="inlineStr">
        <is>
          <t>Judge Record — Dual-Judge Dimension Scores &amp; Agreement</t>
        </is>
      </c>
    </row>
    <row r="2" ht="39.75" customHeight="1" s="22">
      <c r="A2" s="47" t="inlineStr">
        <is>
          <t>One row per dimension: each judge's post-adjustment total (Dim-3 net of capped deductions, Dim-4 floored — applied identically to both judges and the consensus), the consensus total, the score concordance (1 − |A−B| / dim max), the per-dimension verdict agreement rate, and the dissent flag (set iff a recorded dissent touches the dimension). Cross-model disagreement is reported, never averaged away: dissents resolve conservatively and are itemised in the report annex.</t>
        </is>
      </c>
    </row>
    <row r="4" ht="31.5" customHeight="1" s="22">
      <c r="A4" s="49" t="inlineStr">
        <is>
          <t>Dim</t>
        </is>
      </c>
      <c r="B4" s="49" t="inlineStr">
        <is>
          <t>Dimension</t>
        </is>
      </c>
      <c r="C4" s="49" t="inlineStr">
        <is>
          <t>Judge A (Claude)</t>
        </is>
      </c>
      <c r="D4" s="49" t="inlineStr">
        <is>
          <t>Judge B (Gemini)</t>
        </is>
      </c>
      <c r="E4" s="49" t="inlineStr">
        <is>
          <t>Consensus</t>
        </is>
      </c>
      <c r="F4" s="49" t="inlineStr">
        <is>
          <t>Score concordance</t>
        </is>
      </c>
      <c r="G4" s="49" t="inlineStr">
        <is>
          <t>Verdict agreement</t>
        </is>
      </c>
      <c r="H4" s="49" t="inlineStr">
        <is>
          <t>Dissent flag</t>
        </is>
      </c>
      <c r="I4" s="49" t="n"/>
      <c r="J4" s="49" t="n"/>
    </row>
    <row r="5" ht="21.75" customHeight="1" s="22">
      <c r="A5" s="51" t="n">
        <v>1</v>
      </c>
      <c r="B5" s="59" t="inlineStr">
        <is>
          <t>Business Requirements Comprehension</t>
        </is>
      </c>
      <c r="C5" s="52" t="inlineStr">
        <is>
          <t>{{dim_1_judge_cc}}</t>
        </is>
      </c>
      <c r="D5" s="52" t="inlineStr">
        <is>
          <t>{{dim_1_judge_gm}}</t>
        </is>
      </c>
      <c r="E5" s="52" t="inlineStr">
        <is>
          <t>{{dim_1_con}}</t>
        </is>
      </c>
      <c r="F5" s="52" t="inlineStr">
        <is>
          <t>{{dim_1_conc}}</t>
        </is>
      </c>
      <c r="G5" s="52" t="inlineStr">
        <is>
          <t>{{dim_1_agree_rate}}</t>
        </is>
      </c>
      <c r="H5" s="61" t="inlineStr">
        <is>
          <t>{{dim_1_dissent}}</t>
        </is>
      </c>
      <c r="I5" s="61" t="n"/>
      <c r="J5" s="61" t="n"/>
    </row>
    <row r="6" ht="21.75" customHeight="1" s="22">
      <c r="A6" s="51" t="n">
        <v>2</v>
      </c>
      <c r="B6" s="59" t="inlineStr">
        <is>
          <t>Requirement Coverage</t>
        </is>
      </c>
      <c r="C6" s="52" t="inlineStr">
        <is>
          <t>{{dim_2_judge_cc}}</t>
        </is>
      </c>
      <c r="D6" s="52" t="inlineStr">
        <is>
          <t>{{dim_2_judge_gm}}</t>
        </is>
      </c>
      <c r="E6" s="52" t="inlineStr">
        <is>
          <t>{{dim_2_con}}</t>
        </is>
      </c>
      <c r="F6" s="52" t="inlineStr">
        <is>
          <t>{{dim_2_conc}}</t>
        </is>
      </c>
      <c r="G6" s="52" t="inlineStr">
        <is>
          <t>{{dim_2_agree_rate}}</t>
        </is>
      </c>
      <c r="H6" s="61" t="inlineStr">
        <is>
          <t>{{dim_2_dissent}}</t>
        </is>
      </c>
      <c r="I6" s="61" t="n"/>
      <c r="J6" s="61" t="n"/>
    </row>
    <row r="7" ht="21.75" customHeight="1" s="22">
      <c r="A7" s="51" t="n">
        <v>3</v>
      </c>
      <c r="B7" s="59" t="inlineStr">
        <is>
          <t>Salesforce Solution Fit</t>
        </is>
      </c>
      <c r="C7" s="52" t="inlineStr">
        <is>
          <t>{{dim_3_judge_cc}}</t>
        </is>
      </c>
      <c r="D7" s="52" t="inlineStr">
        <is>
          <t>{{dim_3_judge_gm}}</t>
        </is>
      </c>
      <c r="E7" s="52" t="inlineStr">
        <is>
          <t>{{dim_3_con}}</t>
        </is>
      </c>
      <c r="F7" s="52" t="inlineStr">
        <is>
          <t>{{dim_3_conc}}</t>
        </is>
      </c>
      <c r="G7" s="52" t="inlineStr">
        <is>
          <t>{{dim_3_agree_rate}}</t>
        </is>
      </c>
      <c r="H7" s="61" t="inlineStr">
        <is>
          <t>{{dim_3_dissent}}</t>
        </is>
      </c>
      <c r="I7" s="61" t="n"/>
      <c r="J7" s="61" t="n"/>
    </row>
    <row r="8" ht="21.75" customHeight="1" s="22">
      <c r="A8" s="51" t="n">
        <v>4</v>
      </c>
      <c r="B8" s="59" t="inlineStr">
        <is>
          <t>Design Specificity</t>
        </is>
      </c>
      <c r="C8" s="52" t="inlineStr">
        <is>
          <t>{{dim_4_judge_cc}}</t>
        </is>
      </c>
      <c r="D8" s="52" t="inlineStr">
        <is>
          <t>{{dim_4_judge_gm}}</t>
        </is>
      </c>
      <c r="E8" s="52" t="inlineStr">
        <is>
          <t>{{dim_4_con}}</t>
        </is>
      </c>
      <c r="F8" s="52" t="inlineStr">
        <is>
          <t>{{dim_4_conc}}</t>
        </is>
      </c>
      <c r="G8" s="52" t="inlineStr">
        <is>
          <t>{{dim_4_agree_rate}}</t>
        </is>
      </c>
      <c r="H8" s="61" t="inlineStr">
        <is>
          <t>{{dim_4_dissent}}</t>
        </is>
      </c>
      <c r="I8" s="61" t="n"/>
      <c r="J8" s="61" t="n"/>
    </row>
    <row r="9" ht="21.75" customHeight="1" s="22">
      <c r="A9" s="51" t="n">
        <v>5</v>
      </c>
      <c r="B9" s="59" t="inlineStr">
        <is>
          <t>Dependencies and Assumptions</t>
        </is>
      </c>
      <c r="C9" s="52" t="inlineStr">
        <is>
          <t>{{dim_5_judge_cc}}</t>
        </is>
      </c>
      <c r="D9" s="52" t="inlineStr">
        <is>
          <t>{{dim_5_judge_gm}}</t>
        </is>
      </c>
      <c r="E9" s="52" t="inlineStr">
        <is>
          <t>{{dim_5_con}}</t>
        </is>
      </c>
      <c r="F9" s="52" t="inlineStr">
        <is>
          <t>{{dim_5_conc}}</t>
        </is>
      </c>
      <c r="G9" s="52" t="inlineStr">
        <is>
          <t>{{dim_5_agree_rate}}</t>
        </is>
      </c>
      <c r="H9" s="61" t="inlineStr">
        <is>
          <t>{{dim_5_dissent}}</t>
        </is>
      </c>
      <c r="I9" s="61" t="n"/>
      <c r="J9" s="61" t="n"/>
    </row>
    <row r="10" ht="21.75" customHeight="1" s="22">
      <c r="A10" s="51" t="n">
        <v>6</v>
      </c>
      <c r="B10" s="59" t="inlineStr">
        <is>
          <t>Scope Discipline</t>
        </is>
      </c>
      <c r="C10" s="52" t="inlineStr">
        <is>
          <t>{{dim_6_judge_cc}}</t>
        </is>
      </c>
      <c r="D10" s="52" t="inlineStr">
        <is>
          <t>{{dim_6_judge_gm}}</t>
        </is>
      </c>
      <c r="E10" s="52" t="inlineStr">
        <is>
          <t>{{dim_6_con}}</t>
        </is>
      </c>
      <c r="F10" s="52" t="inlineStr">
        <is>
          <t>{{dim_6_conc}}</t>
        </is>
      </c>
      <c r="G10" s="52" t="inlineStr">
        <is>
          <t>{{dim_6_agree_rate}}</t>
        </is>
      </c>
      <c r="H10" s="61" t="inlineStr">
        <is>
          <t>{{dim_6_dissent}}</t>
        </is>
      </c>
      <c r="I10" s="61" t="n"/>
      <c r="J10" s="61" t="n"/>
    </row>
    <row r="11" ht="21.75" customHeight="1" s="22">
      <c r="A11" s="51" t="n">
        <v>7</v>
      </c>
      <c r="B11" s="59" t="inlineStr">
        <is>
          <t>Estimation Readiness</t>
        </is>
      </c>
      <c r="C11" s="52" t="inlineStr">
        <is>
          <t>{{dim_7_judge_cc}}</t>
        </is>
      </c>
      <c r="D11" s="52" t="inlineStr">
        <is>
          <t>{{dim_7_judge_gm}}</t>
        </is>
      </c>
      <c r="E11" s="52" t="inlineStr">
        <is>
          <t>{{dim_7_con}}</t>
        </is>
      </c>
      <c r="F11" s="52" t="inlineStr">
        <is>
          <t>{{dim_7_conc}}</t>
        </is>
      </c>
      <c r="G11" s="52" t="inlineStr">
        <is>
          <t>{{dim_7_agree_rate}}</t>
        </is>
      </c>
      <c r="H11" s="61" t="inlineStr">
        <is>
          <t>{{dim_7_dissent}}</t>
        </is>
      </c>
      <c r="I11" s="61" t="n"/>
      <c r="J11" s="61" t="n"/>
    </row>
    <row r="13">
      <c r="A13" t="inlineStr">
        <is>
          <t>Agreement summary (Backend Schema §6.5; computed once, TR-21)</t>
        </is>
      </c>
    </row>
    <row r="14">
      <c r="A14" t="inlineStr">
        <is>
          <t>verdict_agreement_rate</t>
        </is>
      </c>
      <c r="B14" t="inlineStr">
        <is>
          <t>{{agree_rate_overall}}</t>
        </is>
      </c>
      <c r="C14" t="inlineStr">
        <is>
          <t>matched verdicts / non-NA criteria, both dim-groups</t>
        </is>
      </c>
    </row>
    <row r="15">
      <c r="A15" t="inlineStr">
        <is>
          <t>score_concordance</t>
        </is>
      </c>
      <c r="B15" t="inlineStr">
        <is>
          <t>{{concordance_overall}}</t>
        </is>
      </c>
      <c r="C15" t="inlineStr">
        <is>
          <t>dim_max-weighted mean of per-dimension concordance</t>
        </is>
      </c>
    </row>
    <row r="16">
      <c r="A16" t="inlineStr">
        <is>
          <t>agreement_overall</t>
        </is>
      </c>
      <c r="B16" t="inlineStr">
        <is>
          <t>{{agreement_overall}}</t>
        </is>
      </c>
      <c r="C16" t="inlineStr">
        <is>
          <t>0.5 · verdict_agreement_rate + 0.5 · score_concordance</t>
        </is>
      </c>
    </row>
    <row r="17">
      <c r="A17" t="inlineStr">
        <is>
          <t>reliability</t>
        </is>
      </c>
      <c r="B17" t="inlineStr">
        <is>
          <t>{{reliability_label}}</t>
        </is>
      </c>
      <c r="C17" t="inlineStr">
        <is>
          <t>≥0.85 strong cross-model concurrence · 0.70–0.85 moderate · &lt;0.70 weak</t>
        </is>
      </c>
    </row>
    <row r="18">
      <c r="A18" t="inlineStr">
        <is>
          <t>dissent_count</t>
        </is>
      </c>
      <c r="B18" t="inlineStr">
        <is>
          <t>{{dissent_count}}</t>
        </is>
      </c>
      <c r="C18" t="inlineStr">
        <is>
          <t>criterion / sub-score dissents preserved in the annex</t>
        </is>
      </c>
    </row>
    <row r="19">
      <c r="A19" t="inlineStr">
        <is>
          <t>divergence_count</t>
        </is>
      </c>
      <c r="B19" t="inlineStr">
        <is>
          <t>{{divergence_count}}</t>
        </is>
      </c>
      <c r="C19" t="inlineStr">
        <is>
          <t>items that required evidence-ruled reconciliation</t>
        </is>
      </c>
    </row>
  </sheetData>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21" min="1" max="1"/>
    <col width="28" customWidth="1" style="21" min="2" max="3"/>
    <col width="70" customWidth="1" style="21" min="4" max="4"/>
  </cols>
  <sheetData>
    <row r="1" ht="15.75" customHeight="1" s="22">
      <c r="A1" s="57" t="inlineStr">
        <is>
          <t>Narrative — Per-Dimension Key Reasoning</t>
        </is>
      </c>
    </row>
    <row r="2" ht="49.5" customHeight="1" s="22">
      <c r="A2" s="47" t="inlineStr">
        <is>
          <t>Per-dim key reasoning excerpts from the scoring bundle (per_dim_key_reasoning[k]). On Dim 1/2/6: MUST cite ≥ 1 operator-BRD passage (R18 — story-ID or BRD-section pointer). On all 7 dims: MUST reference ≥ 1 zms_calibration_citations entry (R13). Blinding label only in any reference (R14).</t>
        </is>
      </c>
    </row>
    <row r="4" ht="31.5" customHeight="1" s="22">
      <c r="A4" s="49" t="inlineStr">
        <is>
          <t>Dim</t>
        </is>
      </c>
      <c r="B4" s="49" t="inlineStr">
        <is>
          <t>Dimension</t>
        </is>
      </c>
      <c r="C4" s="49" t="inlineStr">
        <is>
          <t>Truth source</t>
        </is>
      </c>
      <c r="D4" s="49" t="inlineStr">
        <is>
          <t>Key reasoning (cite BRD passages on Dim 1/2/6; cite zms_calibration_citations all dims)</t>
        </is>
      </c>
    </row>
    <row r="5" ht="79.5" customHeight="1" s="22">
      <c r="A5" s="51" t="n">
        <v>1</v>
      </c>
      <c r="B5" s="59" t="inlineStr">
        <is>
          <t>Business Requirements Comprehension</t>
        </is>
      </c>
      <c r="C5" s="55" t="inlineStr">
        <is>
          <t>Operator BRD (requirements truth) + ZMS calibration reference</t>
        </is>
      </c>
      <c r="D5" s="46" t="inlineStr">
        <is>
          <t>{{dim_1_key_reasoning}}</t>
        </is>
      </c>
    </row>
    <row r="6" ht="79.5" customHeight="1" s="22">
      <c r="A6" s="51" t="n">
        <v>2</v>
      </c>
      <c r="B6" s="59" t="inlineStr">
        <is>
          <t>Requirement Coverage</t>
        </is>
      </c>
      <c r="C6" s="55" t="inlineStr">
        <is>
          <t>Operator BRD (requirements truth) + ZMS calibration reference</t>
        </is>
      </c>
      <c r="D6" s="46" t="inlineStr">
        <is>
          <t>{{dim_2_key_reasoning}}</t>
        </is>
      </c>
    </row>
    <row r="7" ht="79.5" customHeight="1" s="22">
      <c r="A7" s="51" t="n">
        <v>3</v>
      </c>
      <c r="B7" s="59" t="inlineStr">
        <is>
          <t>Salesforce Solution Fit</t>
        </is>
      </c>
      <c r="C7" s="55" t="inlineStr">
        <is>
          <t>Operator BRD (requirements truth) + Salesforce platform standards (technical truth) + ZMS calibration reference</t>
        </is>
      </c>
      <c r="D7" s="46" t="inlineStr">
        <is>
          <t>{{dim_3_key_reasoning}}</t>
        </is>
      </c>
    </row>
    <row r="8" ht="79.5" customHeight="1" s="22">
      <c r="A8" s="51" t="n">
        <v>4</v>
      </c>
      <c r="B8" s="59" t="inlineStr">
        <is>
          <t>Design Specificity</t>
        </is>
      </c>
      <c r="C8" s="55" t="inlineStr">
        <is>
          <t>Operator BRD (requirements truth) + Content Mapping (structural truth) + ZMS calibration reference</t>
        </is>
      </c>
      <c r="D8" s="46" t="inlineStr">
        <is>
          <t>{{dim_4_key_reasoning}}</t>
        </is>
      </c>
    </row>
    <row r="9" ht="79.5" customHeight="1" s="22">
      <c r="A9" s="51" t="n">
        <v>5</v>
      </c>
      <c r="B9" s="59" t="inlineStr">
        <is>
          <t>Dependencies and Assumptions</t>
        </is>
      </c>
      <c r="C9" s="55" t="inlineStr">
        <is>
          <t>Operator BRD (requirements truth) + ZMS calibration reference</t>
        </is>
      </c>
      <c r="D9" s="46" t="inlineStr">
        <is>
          <t>{{dim_5_key_reasoning}}</t>
        </is>
      </c>
    </row>
    <row r="10" ht="79.5" customHeight="1" s="22">
      <c r="A10" s="51" t="n">
        <v>6</v>
      </c>
      <c r="B10" s="59" t="inlineStr">
        <is>
          <t>Scope Discipline</t>
        </is>
      </c>
      <c r="C10" s="55" t="inlineStr">
        <is>
          <t>Operator BRD (requirements truth) + ZMS calibration reference</t>
        </is>
      </c>
      <c r="D10" s="46" t="inlineStr">
        <is>
          <t>{{dim_6_key_reasoning}}</t>
        </is>
      </c>
    </row>
    <row r="11" ht="79.5" customHeight="1" s="22">
      <c r="A11" s="51" t="n">
        <v>7</v>
      </c>
      <c r="B11" s="59" t="inlineStr">
        <is>
          <t>Estimation Readiness</t>
        </is>
      </c>
      <c r="C11" s="55" t="inlineStr">
        <is>
          <t>Operator BRD (requirements truth) + ZMS calibration reference</t>
        </is>
      </c>
      <c r="D11" s="46" t="inlineStr">
        <is>
          <t>{{dim_7_key_reasoning}}</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2026-05-26T11:52:59Z</dcterms:created>
  <dcterms:modified xmlns:dcterms="http://purl.org/dc/terms/" xmlns:xsi="http://www.w3.org/2001/XMLSchema-instance" xsi:type="dcterms:W3CDTF">2026-07-06T10:07:30Z</dcterms:modified>
  <cp:revision>0</cp:revision>
</cp:coreProperties>
</file>