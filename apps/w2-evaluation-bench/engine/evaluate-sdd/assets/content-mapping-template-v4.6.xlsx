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onent_Classification_A" sheetId="2" state="visible" r:id="rId2"/>
    <sheet xmlns:r="http://schemas.openxmlformats.org/officeDocument/2006/relationships" name="Floor_Calculation_A" sheetId="3" state="visible" r:id="rId3"/>
    <sheet xmlns:r="http://schemas.openxmlformats.org/officeDocument/2006/relationships" name="Stub_Detection_Audit_A" sheetId="4" state="visible" r:id="rId4"/>
    <sheet xmlns:r="http://schemas.openxmlformats.org/officeDocument/2006/relationships" name="Component_Classification_B" sheetId="5" state="visible" r:id="rId5"/>
    <sheet xmlns:r="http://schemas.openxmlformats.org/officeDocument/2006/relationships" name="Floor_Calculation_B" sheetId="6" state="visible" r:id="rId6"/>
    <sheet xmlns:r="http://schemas.openxmlformats.org/officeDocument/2006/relationships" name="Stub_Detection_Audit_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M Sans"/>
      <b val="1"/>
      <color rgb="00139F94"/>
      <sz val="14"/>
    </font>
    <font>
      <name val="DM Sans"/>
      <color rgb="006B7280"/>
      <sz val="9"/>
    </font>
    <font>
      <name val="DM Sans"/>
      <b val="1"/>
      <color rgb="001C4A4D"/>
      <sz val="10"/>
    </font>
    <font>
      <name val="DM Sans"/>
      <color rgb="001C4A4D"/>
      <sz val="10"/>
    </font>
    <font>
      <name val="DM Sans"/>
      <b val="1"/>
      <color rgb="00FFFFFF"/>
      <sz val="10"/>
    </font>
    <font>
      <name val="DM Sans"/>
      <b val="1"/>
      <color rgb="FFFFFFFF"/>
      <sz val="12"/>
    </font>
    <font>
      <name val="DM Sans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00139F94"/>
        <bgColor rgb="00139F94"/>
      </patternFill>
    </fill>
    <fill>
      <patternFill patternType="solid">
        <fgColor rgb="00E8F7F6"/>
        <bgColor rgb="00E8F7F6"/>
      </patternFill>
    </fill>
    <fill>
      <patternFill patternType="solid">
        <fgColor rgb="00F2F4F9"/>
        <bgColor rgb="00F2F4F9"/>
      </patternFill>
    </fill>
    <fill>
      <patternFill patternType="solid">
        <fgColor rgb="FF1C4A4D"/>
      </patternFill>
    </fill>
    <fill>
      <patternFill patternType="solid">
        <fgColor rgb="FF139F94"/>
      </patternFill>
    </fill>
  </fills>
  <borders count="2">
    <border>
      <left/>
      <right/>
      <top/>
      <bottom/>
      <diagonal/>
    </border>
    <border>
      <left style="thin">
        <color rgb="00E8F7F6"/>
      </left>
      <right style="thin">
        <color rgb="00E8F7F6"/>
      </right>
      <top style="thin">
        <color rgb="00E8F7F6"/>
      </top>
      <bottom style="thin">
        <color rgb="00E8F7F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8" t="inlineStr">
        <is>
          <t>Content Mapping — Cover</t>
        </is>
      </c>
    </row>
    <row r="2">
      <c r="A2" s="2" t="inlineStr">
        <is>
          <t>Template aligned to framework v4.6 (evaluate-sdd v4.6, ZMS v4.6). Populated by content_mapping_classify.py (Section C).</t>
        </is>
      </c>
    </row>
    <row r="3">
      <c r="A3" s="3" t="inlineStr">
        <is>
          <t>Template version</t>
        </is>
      </c>
      <c r="B3" s="4" t="inlineStr">
        <is>
          <t>v4.6</t>
        </is>
      </c>
    </row>
    <row r="4">
      <c r="A4" s="3" t="inlineStr">
        <is>
          <t>Schema authority</t>
        </is>
      </c>
      <c r="B4" s="4" t="inlineStr">
        <is>
          <t>OH v4.6 §3.5 (content mapping); §3.5.1 (stub three-criteria rule); rubric v4.6 §6.4.1 (floor cap)</t>
        </is>
      </c>
    </row>
    <row r="5">
      <c r="A5" s="3" t="inlineStr">
        <is>
          <t>Populated by</t>
        </is>
      </c>
      <c r="B5" s="4" t="inlineStr">
        <is>
          <t>content_mapping_classify.py (Section C), invoked twice (once per SDD lane)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Component Classification — 8 Required + Conditional + Optional</t>
        </is>
      </c>
    </row>
    <row r="2">
      <c r="A2" s="2" t="inlineStr">
        <is>
          <t>Classification rule (OH §3.5.1): Stub only when ALL THREE hold: &lt;200 words AND &lt;2 decisions AND no SF mechanism. Borderline defaults to Substantive.</t>
        </is>
      </c>
    </row>
    <row r="3"/>
    <row r="4">
      <c r="A4" s="9" t="inlineStr">
        <is>
          <t>ID</t>
        </is>
      </c>
      <c r="B4" s="9" t="inlineStr">
        <is>
          <t>Component</t>
        </is>
      </c>
      <c r="C4" s="9" t="inlineStr">
        <is>
          <t>Required / Conditional / Optional</t>
        </is>
      </c>
      <c r="D4" s="9" t="inlineStr">
        <is>
          <t>Substantive word count</t>
        </is>
      </c>
      <c r="E4" s="9" t="inlineStr">
        <is>
          <t>Distinct design decisions</t>
        </is>
      </c>
      <c r="F4" s="9" t="inlineStr">
        <is>
          <t>SF mechanism present? (Y/N)</t>
        </is>
      </c>
      <c r="G4" s="9" t="inlineStr">
        <is>
          <t>Classification</t>
        </is>
      </c>
      <c r="H4" s="9" t="inlineStr">
        <is>
          <t>Evidence pointer (SDD passage ref)</t>
        </is>
      </c>
    </row>
    <row r="5">
      <c r="A5" s="6" t="inlineStr">
        <is>
          <t>C1</t>
        </is>
      </c>
      <c r="B5" s="6" t="inlineStr">
        <is>
          <t>Scope and Assumptions</t>
        </is>
      </c>
      <c r="C5" s="6" t="inlineStr">
        <is>
          <t>Required</t>
        </is>
      </c>
      <c r="D5" s="6" t="n"/>
      <c r="E5" s="6" t="n"/>
      <c r="F5" s="6" t="n"/>
      <c r="G5" s="6" t="n"/>
      <c r="H5" s="6" t="n"/>
    </row>
    <row r="6">
      <c r="A6" s="7" t="inlineStr">
        <is>
          <t>C2</t>
        </is>
      </c>
      <c r="B6" s="7" t="inlineStr">
        <is>
          <t>Data Model</t>
        </is>
      </c>
      <c r="C6" s="7" t="inlineStr">
        <is>
          <t>Required</t>
        </is>
      </c>
      <c r="D6" s="7" t="n"/>
      <c r="E6" s="7" t="n"/>
      <c r="F6" s="7" t="n"/>
      <c r="G6" s="7" t="n"/>
      <c r="H6" s="7" t="n"/>
    </row>
    <row r="7">
      <c r="A7" s="6" t="inlineStr">
        <is>
          <t>C3</t>
        </is>
      </c>
      <c r="B7" s="6" t="inlineStr">
        <is>
          <t>Business Process Flows</t>
        </is>
      </c>
      <c r="C7" s="6" t="inlineStr">
        <is>
          <t>Required</t>
        </is>
      </c>
      <c r="D7" s="6" t="n"/>
      <c r="E7" s="6" t="n"/>
      <c r="F7" s="6" t="n"/>
      <c r="G7" s="6" t="n"/>
      <c r="H7" s="6" t="n"/>
    </row>
    <row r="8">
      <c r="A8" s="7" t="inlineStr">
        <is>
          <t>C4</t>
        </is>
      </c>
      <c r="B8" s="7" t="inlineStr">
        <is>
          <t>Security and Sharing Model</t>
        </is>
      </c>
      <c r="C8" s="7" t="inlineStr">
        <is>
          <t>Required</t>
        </is>
      </c>
      <c r="D8" s="7" t="n"/>
      <c r="E8" s="7" t="n"/>
      <c r="F8" s="7" t="n"/>
      <c r="G8" s="7" t="n"/>
      <c r="H8" s="7" t="n"/>
    </row>
    <row r="9">
      <c r="A9" s="6" t="inlineStr">
        <is>
          <t>C5</t>
        </is>
      </c>
      <c r="B9" s="6" t="inlineStr">
        <is>
          <t>Integration Architecture</t>
        </is>
      </c>
      <c r="C9" s="6" t="inlineStr">
        <is>
          <t>Required</t>
        </is>
      </c>
      <c r="D9" s="6" t="n"/>
      <c r="E9" s="6" t="n"/>
      <c r="F9" s="6" t="n"/>
      <c r="G9" s="6" t="n"/>
      <c r="H9" s="6" t="n"/>
    </row>
    <row r="10">
      <c r="A10" s="7" t="inlineStr">
        <is>
          <t>C6</t>
        </is>
      </c>
      <c r="B10" s="7" t="inlineStr">
        <is>
          <t>Reporting and Analytics Design</t>
        </is>
      </c>
      <c r="C10" s="7" t="inlineStr">
        <is>
          <t>Required</t>
        </is>
      </c>
      <c r="D10" s="7" t="n"/>
      <c r="E10" s="7" t="n"/>
      <c r="F10" s="7" t="n"/>
      <c r="G10" s="7" t="n"/>
      <c r="H10" s="7" t="n"/>
    </row>
    <row r="11">
      <c r="A11" s="6" t="inlineStr">
        <is>
          <t>C7</t>
        </is>
      </c>
      <c r="B11" s="6" t="inlineStr">
        <is>
          <t>Open Decisions Log</t>
        </is>
      </c>
      <c r="C11" s="6" t="inlineStr">
        <is>
          <t>Required</t>
        </is>
      </c>
      <c r="D11" s="6" t="n"/>
      <c r="E11" s="6" t="n"/>
      <c r="F11" s="6" t="n"/>
      <c r="G11" s="6" t="n"/>
      <c r="H11" s="6" t="n"/>
    </row>
    <row r="12">
      <c r="A12" s="7" t="inlineStr">
        <is>
          <t>C8</t>
        </is>
      </c>
      <c r="B12" s="7" t="inlineStr">
        <is>
          <t>Confidence Annotations</t>
        </is>
      </c>
      <c r="C12" s="7" t="inlineStr">
        <is>
          <t>Required</t>
        </is>
      </c>
      <c r="D12" s="7" t="n"/>
      <c r="E12" s="7" t="n"/>
      <c r="F12" s="7" t="n"/>
      <c r="G12" s="7" t="n"/>
      <c r="H12" s="7" t="n"/>
    </row>
    <row r="13">
      <c r="A13" s="6" t="inlineStr">
        <is>
          <t>D1</t>
        </is>
      </c>
      <c r="B13" s="6" t="inlineStr">
        <is>
          <t>Data Migration Approach</t>
        </is>
      </c>
      <c r="C13" s="6" t="inlineStr">
        <is>
          <t>Conditional</t>
        </is>
      </c>
      <c r="D13" s="6" t="n"/>
      <c r="E13" s="6" t="n"/>
      <c r="F13" s="6" t="n"/>
      <c r="G13" s="6" t="n"/>
      <c r="H13" s="6" t="n"/>
    </row>
    <row r="14">
      <c r="A14" s="7" t="inlineStr">
        <is>
          <t>D2</t>
        </is>
      </c>
      <c r="B14" s="7" t="inlineStr">
        <is>
          <t>Phasing and Delivery Plan</t>
        </is>
      </c>
      <c r="C14" s="7" t="inlineStr">
        <is>
          <t>Conditional</t>
        </is>
      </c>
      <c r="D14" s="7" t="n"/>
      <c r="E14" s="7" t="n"/>
      <c r="F14" s="7" t="n"/>
      <c r="G14" s="7" t="n"/>
      <c r="H14" s="7" t="n"/>
    </row>
    <row r="15">
      <c r="A15" s="6" t="inlineStr">
        <is>
          <t>O1</t>
        </is>
      </c>
      <c r="B15" s="6" t="inlineStr">
        <is>
          <t>Executive Summary</t>
        </is>
      </c>
      <c r="C15" s="6" t="inlineStr">
        <is>
          <t>Optional</t>
        </is>
      </c>
      <c r="D15" s="6" t="n"/>
      <c r="E15" s="6" t="n"/>
      <c r="F15" s="6" t="n"/>
      <c r="G15" s="6" t="n"/>
      <c r="H15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</cols>
  <sheetData>
    <row r="1">
      <c r="A1" s="1" t="inlineStr">
        <is>
          <t>Component-Presence Floor Calculation (Dim 4)</t>
        </is>
      </c>
    </row>
    <row r="2">
      <c r="A2" s="2" t="inlineStr">
        <is>
          <t>Floor computed over the 8 REQUIRED components only (C1-C8). Conditional and Optional do not affect floor.</t>
        </is>
      </c>
    </row>
    <row r="3"/>
    <row r="4">
      <c r="A4" s="5" t="inlineStr">
        <is>
          <t>Metric</t>
        </is>
      </c>
      <c r="B4" s="5" t="inlineStr">
        <is>
          <t>Value (derived)</t>
        </is>
      </c>
      <c r="C4" s="5" t="inlineStr">
        <is>
          <t>Formula / Source</t>
        </is>
      </c>
    </row>
    <row r="5">
      <c r="A5" s="10" t="inlineStr">
        <is>
          <t>Substantive count (of 8 required)</t>
        </is>
      </c>
      <c r="B5" s="10">
        <f>COUNTIF(Component_Classification_A!G5:G12,"Substantive")</f>
        <v/>
      </c>
      <c r="C5" s="10" t="inlineStr">
        <is>
          <t>COUNTIF on Classification column for Required rows</t>
        </is>
      </c>
    </row>
    <row r="6">
      <c r="A6" s="7" t="inlineStr">
        <is>
          <t>Stub count (of 8 required)</t>
        </is>
      </c>
      <c r="B6" s="7">
        <f>COUNTIF(Component_Classification_A!G5:G12,"Stub")</f>
        <v/>
      </c>
      <c r="C6" s="7" t="inlineStr">
        <is>
          <t>OH §3.5.1 three-criteria rule</t>
        </is>
      </c>
    </row>
    <row r="7">
      <c r="A7" s="6" t="inlineStr">
        <is>
          <t>Missing count (of 8 required)</t>
        </is>
      </c>
      <c r="B7" s="6">
        <f>COUNTIF(Component_Classification_A!G5:G12,"Missing")</f>
        <v/>
      </c>
      <c r="C7" s="6" t="inlineStr">
        <is>
          <t>Component not found in SDD</t>
        </is>
      </c>
    </row>
    <row r="8">
      <c r="A8" s="7" t="inlineStr">
        <is>
          <t>Stub + Missing count</t>
        </is>
      </c>
      <c r="B8" s="7">
        <f>B6+B7</f>
        <v/>
      </c>
      <c r="C8" s="7" t="inlineStr">
        <is>
          <t>Sum of stubs and missing</t>
        </is>
      </c>
    </row>
    <row r="9">
      <c r="A9" s="6" t="inlineStr">
        <is>
          <t>Floor cap applied</t>
        </is>
      </c>
      <c r="B9" s="6">
        <f>IF(B8=0,"No floor (score by sub-criteria only)",IF(B8&lt;=2,"Cap at 10",IF(B8&gt;=3,"Cap at 7","")))</f>
        <v/>
      </c>
      <c r="C9" s="6" t="inlineStr">
        <is>
          <t>rubric §6.4.1; OH §3.5.2 (count 2 caps at 10)</t>
        </is>
      </c>
    </row>
    <row r="10">
      <c r="A10" s="7" t="inlineStr">
        <is>
          <t>Floor cap numeric value</t>
        </is>
      </c>
      <c r="B10" s="7">
        <f>IF(B8=0,15,IF(B8&lt;=2,10,7))</f>
        <v/>
      </c>
      <c r="C10" s="7" t="inlineStr">
        <is>
          <t>15 (no cap), 10 (count 1-2), or 7 (count 3+)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25" customWidth="1" min="4" max="4"/>
    <col width="22" customWidth="1" min="5" max="5"/>
    <col width="18" customWidth="1" min="6" max="6"/>
    <col width="35" customWidth="1" min="7" max="7"/>
  </cols>
  <sheetData>
    <row r="1">
      <c r="A1" s="1" t="inlineStr">
        <is>
          <t>Stub Detection — Three-Criteria Audit Trail</t>
        </is>
      </c>
    </row>
    <row r="2">
      <c r="A2" s="2" t="inlineStr">
        <is>
          <t>For each component classified as Stub, all three criteria must be TRUE. If any is FALSE, classification should be Substantive.</t>
        </is>
      </c>
    </row>
    <row r="3"/>
    <row r="4">
      <c r="A4" s="9" t="inlineStr">
        <is>
          <t>Comp ID</t>
        </is>
      </c>
      <c r="B4" s="9" t="inlineStr">
        <is>
          <t>Component</t>
        </is>
      </c>
      <c r="C4" s="9" t="inlineStr">
        <is>
          <t>Criterion 1: word count (&lt;200?)</t>
        </is>
      </c>
      <c r="D4" s="9" t="inlineStr">
        <is>
          <t>Criterion 2: decisions (&lt;2?)</t>
        </is>
      </c>
      <c r="E4" s="9" t="inlineStr">
        <is>
          <t>Criterion 3: no SF mechanism?</t>
        </is>
      </c>
      <c r="F4" s="9" t="inlineStr">
        <is>
          <t>All three → Stub</t>
        </is>
      </c>
      <c r="G4" s="9" t="inlineStr">
        <is>
          <t>Triggering evidence</t>
        </is>
      </c>
    </row>
    <row r="5">
      <c r="A5" s="6" t="inlineStr">
        <is>
          <t>C1</t>
        </is>
      </c>
      <c r="B5" s="6" t="inlineStr">
        <is>
          <t>Scope and Assumptions</t>
        </is>
      </c>
      <c r="C5" s="6" t="n"/>
      <c r="D5" s="6" t="n"/>
      <c r="E5" s="6" t="n"/>
      <c r="F5" s="6" t="n"/>
      <c r="G5" s="6" t="n"/>
    </row>
    <row r="6">
      <c r="A6" s="7" t="inlineStr">
        <is>
          <t>C2</t>
        </is>
      </c>
      <c r="B6" s="7" t="inlineStr">
        <is>
          <t>Data Model</t>
        </is>
      </c>
      <c r="C6" s="7" t="n"/>
      <c r="D6" s="7" t="n"/>
      <c r="E6" s="7" t="n"/>
      <c r="F6" s="7" t="n"/>
      <c r="G6" s="7" t="n"/>
    </row>
    <row r="7">
      <c r="A7" s="6" t="inlineStr">
        <is>
          <t>C3</t>
        </is>
      </c>
      <c r="B7" s="6" t="inlineStr">
        <is>
          <t>Business Process Flows</t>
        </is>
      </c>
      <c r="C7" s="6" t="n"/>
      <c r="D7" s="6" t="n"/>
      <c r="E7" s="6" t="n"/>
      <c r="F7" s="6" t="n"/>
      <c r="G7" s="6" t="n"/>
    </row>
    <row r="8">
      <c r="A8" s="7" t="inlineStr">
        <is>
          <t>C4</t>
        </is>
      </c>
      <c r="B8" s="7" t="inlineStr">
        <is>
          <t>Security and Sharing Model</t>
        </is>
      </c>
      <c r="C8" s="7" t="n"/>
      <c r="D8" s="7" t="n"/>
      <c r="E8" s="7" t="n"/>
      <c r="F8" s="7" t="n"/>
      <c r="G8" s="7" t="n"/>
    </row>
    <row r="9">
      <c r="A9" s="6" t="inlineStr">
        <is>
          <t>C5</t>
        </is>
      </c>
      <c r="B9" s="6" t="inlineStr">
        <is>
          <t>Integration Architecture</t>
        </is>
      </c>
      <c r="C9" s="6" t="n"/>
      <c r="D9" s="6" t="n"/>
      <c r="E9" s="6" t="n"/>
      <c r="F9" s="6" t="n"/>
      <c r="G9" s="6" t="n"/>
    </row>
    <row r="10">
      <c r="A10" s="7" t="inlineStr">
        <is>
          <t>C6</t>
        </is>
      </c>
      <c r="B10" s="7" t="inlineStr">
        <is>
          <t>Reporting and Analytics Design</t>
        </is>
      </c>
      <c r="C10" s="7" t="n"/>
      <c r="D10" s="7" t="n"/>
      <c r="E10" s="7" t="n"/>
      <c r="F10" s="7" t="n"/>
      <c r="G10" s="7" t="n"/>
    </row>
    <row r="11">
      <c r="A11" s="6" t="inlineStr">
        <is>
          <t>C7</t>
        </is>
      </c>
      <c r="B11" s="6" t="inlineStr">
        <is>
          <t>Open Decisions Log</t>
        </is>
      </c>
      <c r="C11" s="6" t="n"/>
      <c r="D11" s="6" t="n"/>
      <c r="E11" s="6" t="n"/>
      <c r="F11" s="6" t="n"/>
      <c r="G11" s="6" t="n"/>
    </row>
    <row r="12">
      <c r="A12" s="7" t="inlineStr">
        <is>
          <t>C8</t>
        </is>
      </c>
      <c r="B12" s="7" t="inlineStr">
        <is>
          <t>Confidence Annotations</t>
        </is>
      </c>
      <c r="C12" s="7" t="n"/>
      <c r="D12" s="7" t="n"/>
      <c r="E12" s="7" t="n"/>
      <c r="F12" s="7" t="n"/>
      <c r="G12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Component Classification — 8 Required + Conditional + Optional</t>
        </is>
      </c>
    </row>
    <row r="2">
      <c r="A2" s="2" t="inlineStr">
        <is>
          <t>Classification rule (OH §3.5.1): Stub only when ALL THREE hold: &lt;200 words AND &lt;2 decisions AND no SF mechanism. Borderline defaults to Substantive.</t>
        </is>
      </c>
    </row>
    <row r="3"/>
    <row r="4">
      <c r="A4" s="9" t="inlineStr">
        <is>
          <t>ID</t>
        </is>
      </c>
      <c r="B4" s="9" t="inlineStr">
        <is>
          <t>Component</t>
        </is>
      </c>
      <c r="C4" s="9" t="inlineStr">
        <is>
          <t>Required / Conditional / Optional</t>
        </is>
      </c>
      <c r="D4" s="9" t="inlineStr">
        <is>
          <t>Substantive word count</t>
        </is>
      </c>
      <c r="E4" s="9" t="inlineStr">
        <is>
          <t>Distinct design decisions</t>
        </is>
      </c>
      <c r="F4" s="9" t="inlineStr">
        <is>
          <t>SF mechanism present? (Y/N)</t>
        </is>
      </c>
      <c r="G4" s="9" t="inlineStr">
        <is>
          <t>Classification</t>
        </is>
      </c>
      <c r="H4" s="9" t="inlineStr">
        <is>
          <t>Evidence pointer (SDD passage ref)</t>
        </is>
      </c>
    </row>
    <row r="5">
      <c r="A5" s="6" t="inlineStr">
        <is>
          <t>C1</t>
        </is>
      </c>
      <c r="B5" s="6" t="inlineStr">
        <is>
          <t>Scope and Assumptions</t>
        </is>
      </c>
      <c r="C5" s="6" t="inlineStr">
        <is>
          <t>Required</t>
        </is>
      </c>
      <c r="D5" s="6" t="n"/>
      <c r="E5" s="6" t="n"/>
      <c r="F5" s="6" t="n"/>
      <c r="G5" s="6" t="n"/>
      <c r="H5" s="6" t="n"/>
    </row>
    <row r="6">
      <c r="A6" s="7" t="inlineStr">
        <is>
          <t>C2</t>
        </is>
      </c>
      <c r="B6" s="7" t="inlineStr">
        <is>
          <t>Data Model</t>
        </is>
      </c>
      <c r="C6" s="7" t="inlineStr">
        <is>
          <t>Required</t>
        </is>
      </c>
      <c r="D6" s="7" t="n"/>
      <c r="E6" s="7" t="n"/>
      <c r="F6" s="7" t="n"/>
      <c r="G6" s="7" t="n"/>
      <c r="H6" s="7" t="n"/>
    </row>
    <row r="7">
      <c r="A7" s="6" t="inlineStr">
        <is>
          <t>C3</t>
        </is>
      </c>
      <c r="B7" s="6" t="inlineStr">
        <is>
          <t>Business Process Flows</t>
        </is>
      </c>
      <c r="C7" s="6" t="inlineStr">
        <is>
          <t>Required</t>
        </is>
      </c>
      <c r="D7" s="6" t="n"/>
      <c r="E7" s="6" t="n"/>
      <c r="F7" s="6" t="n"/>
      <c r="G7" s="6" t="n"/>
      <c r="H7" s="6" t="n"/>
    </row>
    <row r="8">
      <c r="A8" s="7" t="inlineStr">
        <is>
          <t>C4</t>
        </is>
      </c>
      <c r="B8" s="7" t="inlineStr">
        <is>
          <t>Security and Sharing Model</t>
        </is>
      </c>
      <c r="C8" s="7" t="inlineStr">
        <is>
          <t>Required</t>
        </is>
      </c>
      <c r="D8" s="7" t="n"/>
      <c r="E8" s="7" t="n"/>
      <c r="F8" s="7" t="n"/>
      <c r="G8" s="7" t="n"/>
      <c r="H8" s="7" t="n"/>
    </row>
    <row r="9">
      <c r="A9" s="6" t="inlineStr">
        <is>
          <t>C5</t>
        </is>
      </c>
      <c r="B9" s="6" t="inlineStr">
        <is>
          <t>Integration Architecture</t>
        </is>
      </c>
      <c r="C9" s="6" t="inlineStr">
        <is>
          <t>Required</t>
        </is>
      </c>
      <c r="D9" s="6" t="n"/>
      <c r="E9" s="6" t="n"/>
      <c r="F9" s="6" t="n"/>
      <c r="G9" s="6" t="n"/>
      <c r="H9" s="6" t="n"/>
    </row>
    <row r="10">
      <c r="A10" s="7" t="inlineStr">
        <is>
          <t>C6</t>
        </is>
      </c>
      <c r="B10" s="7" t="inlineStr">
        <is>
          <t>Reporting and Analytics Design</t>
        </is>
      </c>
      <c r="C10" s="7" t="inlineStr">
        <is>
          <t>Required</t>
        </is>
      </c>
      <c r="D10" s="7" t="n"/>
      <c r="E10" s="7" t="n"/>
      <c r="F10" s="7" t="n"/>
      <c r="G10" s="7" t="n"/>
      <c r="H10" s="7" t="n"/>
    </row>
    <row r="11">
      <c r="A11" s="6" t="inlineStr">
        <is>
          <t>C7</t>
        </is>
      </c>
      <c r="B11" s="6" t="inlineStr">
        <is>
          <t>Open Decisions Log</t>
        </is>
      </c>
      <c r="C11" s="6" t="inlineStr">
        <is>
          <t>Required</t>
        </is>
      </c>
      <c r="D11" s="6" t="n"/>
      <c r="E11" s="6" t="n"/>
      <c r="F11" s="6" t="n"/>
      <c r="G11" s="6" t="n"/>
      <c r="H11" s="6" t="n"/>
    </row>
    <row r="12">
      <c r="A12" s="7" t="inlineStr">
        <is>
          <t>C8</t>
        </is>
      </c>
      <c r="B12" s="7" t="inlineStr">
        <is>
          <t>Confidence Annotations</t>
        </is>
      </c>
      <c r="C12" s="7" t="inlineStr">
        <is>
          <t>Required</t>
        </is>
      </c>
      <c r="D12" s="7" t="n"/>
      <c r="E12" s="7" t="n"/>
      <c r="F12" s="7" t="n"/>
      <c r="G12" s="7" t="n"/>
      <c r="H12" s="7" t="n"/>
    </row>
    <row r="13">
      <c r="A13" s="6" t="inlineStr">
        <is>
          <t>D1</t>
        </is>
      </c>
      <c r="B13" s="6" t="inlineStr">
        <is>
          <t>Data Migration Approach</t>
        </is>
      </c>
      <c r="C13" s="6" t="inlineStr">
        <is>
          <t>Conditional</t>
        </is>
      </c>
      <c r="D13" s="6" t="n"/>
      <c r="E13" s="6" t="n"/>
      <c r="F13" s="6" t="n"/>
      <c r="G13" s="6" t="n"/>
      <c r="H13" s="6" t="n"/>
    </row>
    <row r="14">
      <c r="A14" s="7" t="inlineStr">
        <is>
          <t>D2</t>
        </is>
      </c>
      <c r="B14" s="7" t="inlineStr">
        <is>
          <t>Phasing and Delivery Plan</t>
        </is>
      </c>
      <c r="C14" s="7" t="inlineStr">
        <is>
          <t>Conditional</t>
        </is>
      </c>
      <c r="D14" s="7" t="n"/>
      <c r="E14" s="7" t="n"/>
      <c r="F14" s="7" t="n"/>
      <c r="G14" s="7" t="n"/>
      <c r="H14" s="7" t="n"/>
    </row>
    <row r="15">
      <c r="A15" s="6" t="inlineStr">
        <is>
          <t>O1</t>
        </is>
      </c>
      <c r="B15" s="6" t="inlineStr">
        <is>
          <t>Executive Summary</t>
        </is>
      </c>
      <c r="C15" s="6" t="inlineStr">
        <is>
          <t>Optional</t>
        </is>
      </c>
      <c r="D15" s="6" t="n"/>
      <c r="E15" s="6" t="n"/>
      <c r="F15" s="6" t="n"/>
      <c r="G15" s="6" t="n"/>
      <c r="H1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</cols>
  <sheetData>
    <row r="1">
      <c r="A1" s="1" t="inlineStr">
        <is>
          <t>Component-Presence Floor Calculation (Dim 4)</t>
        </is>
      </c>
    </row>
    <row r="2">
      <c r="A2" s="2" t="inlineStr">
        <is>
          <t>Floor computed over the 8 REQUIRED components only (C1-C8). Conditional and Optional do not affect floor.</t>
        </is>
      </c>
    </row>
    <row r="3"/>
    <row r="4">
      <c r="A4" s="5" t="inlineStr">
        <is>
          <t>Metric</t>
        </is>
      </c>
      <c r="B4" s="5" t="inlineStr">
        <is>
          <t>Value (derived)</t>
        </is>
      </c>
      <c r="C4" s="5" t="inlineStr">
        <is>
          <t>Formula / Source</t>
        </is>
      </c>
    </row>
    <row r="5">
      <c r="A5" s="10" t="inlineStr">
        <is>
          <t>Substantive count (of 8 required)</t>
        </is>
      </c>
      <c r="B5" s="10">
        <f>COUNTIF(Component_Classification_B!G5:G12,"Substantive")</f>
        <v/>
      </c>
      <c r="C5" s="10" t="inlineStr">
        <is>
          <t>COUNTIF on Classification column for Required rows</t>
        </is>
      </c>
    </row>
    <row r="6">
      <c r="A6" s="7" t="inlineStr">
        <is>
          <t>Stub count (of 8 required)</t>
        </is>
      </c>
      <c r="B6" s="7">
        <f>COUNTIF(Component_Classification_B!G5:G12,"Stub")</f>
        <v/>
      </c>
      <c r="C6" s="7" t="inlineStr">
        <is>
          <t>OH §3.5.1 three-criteria rule</t>
        </is>
      </c>
    </row>
    <row r="7">
      <c r="A7" s="6" t="inlineStr">
        <is>
          <t>Missing count (of 8 required)</t>
        </is>
      </c>
      <c r="B7" s="6">
        <f>COUNTIF(Component_Classification_B!G5:G12,"Missing")</f>
        <v/>
      </c>
      <c r="C7" s="6" t="inlineStr">
        <is>
          <t>Component not found in SDD</t>
        </is>
      </c>
    </row>
    <row r="8">
      <c r="A8" s="7" t="inlineStr">
        <is>
          <t>Stub + Missing count</t>
        </is>
      </c>
      <c r="B8" s="7">
        <f>B6+B7</f>
        <v/>
      </c>
      <c r="C8" s="7" t="inlineStr">
        <is>
          <t>Sum of stubs and missing</t>
        </is>
      </c>
    </row>
    <row r="9">
      <c r="A9" s="6" t="inlineStr">
        <is>
          <t>Floor cap applied</t>
        </is>
      </c>
      <c r="B9" s="6">
        <f>IF(B8=0,"No floor (score by sub-criteria only)",IF(B8&lt;=2,"Cap at 10",IF(B8&gt;=3,"Cap at 7","")))</f>
        <v/>
      </c>
      <c r="C9" s="6" t="inlineStr">
        <is>
          <t>rubric §6.4.1; OH §3.5.2 (count 2 caps at 10)</t>
        </is>
      </c>
    </row>
    <row r="10">
      <c r="A10" s="7" t="inlineStr">
        <is>
          <t>Floor cap numeric value</t>
        </is>
      </c>
      <c r="B10" s="7">
        <f>IF(B8=0,15,IF(B8&lt;=2,10,7))</f>
        <v/>
      </c>
      <c r="C10" s="7" t="inlineStr">
        <is>
          <t>15 (no cap), 10 (count 1-2), or 7 (count 3+)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25" customWidth="1" min="4" max="4"/>
    <col width="22" customWidth="1" min="5" max="5"/>
    <col width="18" customWidth="1" min="6" max="6"/>
    <col width="35" customWidth="1" min="7" max="7"/>
  </cols>
  <sheetData>
    <row r="1">
      <c r="A1" s="1" t="inlineStr">
        <is>
          <t>Stub Detection — Three-Criteria Audit Trail</t>
        </is>
      </c>
    </row>
    <row r="2">
      <c r="A2" s="2" t="inlineStr">
        <is>
          <t>For each component classified as Stub, all three criteria must be TRUE. If any is FALSE, classification should be Substantive.</t>
        </is>
      </c>
    </row>
    <row r="3"/>
    <row r="4">
      <c r="A4" s="9" t="inlineStr">
        <is>
          <t>Comp ID</t>
        </is>
      </c>
      <c r="B4" s="9" t="inlineStr">
        <is>
          <t>Component</t>
        </is>
      </c>
      <c r="C4" s="9" t="inlineStr">
        <is>
          <t>Criterion 1: word count (&lt;200?)</t>
        </is>
      </c>
      <c r="D4" s="9" t="inlineStr">
        <is>
          <t>Criterion 2: decisions (&lt;2?)</t>
        </is>
      </c>
      <c r="E4" s="9" t="inlineStr">
        <is>
          <t>Criterion 3: no SF mechanism?</t>
        </is>
      </c>
      <c r="F4" s="9" t="inlineStr">
        <is>
          <t>All three → Stub</t>
        </is>
      </c>
      <c r="G4" s="9" t="inlineStr">
        <is>
          <t>Triggering evidence</t>
        </is>
      </c>
    </row>
    <row r="5">
      <c r="A5" s="6" t="inlineStr">
        <is>
          <t>C1</t>
        </is>
      </c>
      <c r="B5" s="6" t="inlineStr">
        <is>
          <t>Scope and Assumptions</t>
        </is>
      </c>
      <c r="C5" s="6" t="n"/>
      <c r="D5" s="6" t="n"/>
      <c r="E5" s="6" t="n"/>
      <c r="F5" s="6" t="n"/>
      <c r="G5" s="6" t="n"/>
    </row>
    <row r="6">
      <c r="A6" s="7" t="inlineStr">
        <is>
          <t>C2</t>
        </is>
      </c>
      <c r="B6" s="7" t="inlineStr">
        <is>
          <t>Data Model</t>
        </is>
      </c>
      <c r="C6" s="7" t="n"/>
      <c r="D6" s="7" t="n"/>
      <c r="E6" s="7" t="n"/>
      <c r="F6" s="7" t="n"/>
      <c r="G6" s="7" t="n"/>
    </row>
    <row r="7">
      <c r="A7" s="6" t="inlineStr">
        <is>
          <t>C3</t>
        </is>
      </c>
      <c r="B7" s="6" t="inlineStr">
        <is>
          <t>Business Process Flows</t>
        </is>
      </c>
      <c r="C7" s="6" t="n"/>
      <c r="D7" s="6" t="n"/>
      <c r="E7" s="6" t="n"/>
      <c r="F7" s="6" t="n"/>
      <c r="G7" s="6" t="n"/>
    </row>
    <row r="8">
      <c r="A8" s="7" t="inlineStr">
        <is>
          <t>C4</t>
        </is>
      </c>
      <c r="B8" s="7" t="inlineStr">
        <is>
          <t>Security and Sharing Model</t>
        </is>
      </c>
      <c r="C8" s="7" t="n"/>
      <c r="D8" s="7" t="n"/>
      <c r="E8" s="7" t="n"/>
      <c r="F8" s="7" t="n"/>
      <c r="G8" s="7" t="n"/>
    </row>
    <row r="9">
      <c r="A9" s="6" t="inlineStr">
        <is>
          <t>C5</t>
        </is>
      </c>
      <c r="B9" s="6" t="inlineStr">
        <is>
          <t>Integration Architecture</t>
        </is>
      </c>
      <c r="C9" s="6" t="n"/>
      <c r="D9" s="6" t="n"/>
      <c r="E9" s="6" t="n"/>
      <c r="F9" s="6" t="n"/>
      <c r="G9" s="6" t="n"/>
    </row>
    <row r="10">
      <c r="A10" s="7" t="inlineStr">
        <is>
          <t>C6</t>
        </is>
      </c>
      <c r="B10" s="7" t="inlineStr">
        <is>
          <t>Reporting and Analytics Design</t>
        </is>
      </c>
      <c r="C10" s="7" t="n"/>
      <c r="D10" s="7" t="n"/>
      <c r="E10" s="7" t="n"/>
      <c r="F10" s="7" t="n"/>
      <c r="G10" s="7" t="n"/>
    </row>
    <row r="11">
      <c r="A11" s="6" t="inlineStr">
        <is>
          <t>C7</t>
        </is>
      </c>
      <c r="B11" s="6" t="inlineStr">
        <is>
          <t>Open Decisions Log</t>
        </is>
      </c>
      <c r="C11" s="6" t="n"/>
      <c r="D11" s="6" t="n"/>
      <c r="E11" s="6" t="n"/>
      <c r="F11" s="6" t="n"/>
      <c r="G11" s="6" t="n"/>
    </row>
    <row r="12">
      <c r="A12" s="7" t="inlineStr">
        <is>
          <t>C8</t>
        </is>
      </c>
      <c r="B12" s="7" t="inlineStr">
        <is>
          <t>Confidence Annotations</t>
        </is>
      </c>
      <c r="C12" s="7" t="n"/>
      <c r="D12" s="7" t="n"/>
      <c r="E12" s="7" t="n"/>
      <c r="F12" s="7" t="n"/>
      <c r="G1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2026-05-28T12:22:05Z</dcterms:created>
  <dcterms:modified xmlns:dcterms="http://purl.org/dc/terms/" xmlns:xsi="http://www.w3.org/2001/XMLSchema-instance" xsi:type="dcterms:W3CDTF">2026-07-02T10:03:29Z</dcterms:modified>
</cp:coreProperties>
</file>